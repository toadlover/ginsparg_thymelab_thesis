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bgvg9\Downloads\ginsparg_thymelab_thesis\jupyter_notebooks\figure_making\presto_tango_data\prism_data\figure_2a\"/>
    </mc:Choice>
  </mc:AlternateContent>
  <xr:revisionPtr revIDLastSave="0" documentId="13_ncr:1_{C2F121E3-9BA8-493C-9D1D-F6A85F3AC1EC}" xr6:coauthVersionLast="47" xr6:coauthVersionMax="47" xr10:uidLastSave="{00000000-0000-0000-0000-000000000000}"/>
  <bookViews>
    <workbookView xWindow="2310" yWindow="2730" windowWidth="24075" windowHeight="11295" xr2:uid="{00000000-000D-0000-FFFF-FFFF00000000}"/>
  </bookViews>
  <sheets>
    <sheet name="main" sheetId="1" r:id="rId1"/>
    <sheet name="sorted by number" sheetId="2" r:id="rId2"/>
    <sheet name="sorted by mean" sheetId="3" r:id="rId3"/>
    <sheet name="percentage" sheetId="4" r:id="rId4"/>
    <sheet name="separated by significance" sheetId="5" r:id="rId5"/>
    <sheet name="ol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2" i="1" l="1"/>
  <c r="O86" i="5"/>
  <c r="N86" i="5"/>
  <c r="M86" i="5"/>
  <c r="L86" i="5"/>
  <c r="O85" i="5"/>
  <c r="N85" i="5"/>
  <c r="M85" i="5"/>
  <c r="L85" i="5"/>
  <c r="O84" i="5"/>
  <c r="N84" i="5"/>
  <c r="M84" i="5"/>
  <c r="L84" i="5"/>
  <c r="O83" i="5"/>
  <c r="N83" i="5"/>
  <c r="M83" i="5"/>
  <c r="L83" i="5"/>
  <c r="O82" i="5"/>
  <c r="N82" i="5"/>
  <c r="M82" i="5"/>
  <c r="L82" i="5"/>
  <c r="O81" i="5"/>
  <c r="N81" i="5"/>
  <c r="M81" i="5"/>
  <c r="L81" i="5"/>
  <c r="K81" i="5"/>
  <c r="O80" i="5"/>
  <c r="N80" i="5"/>
  <c r="M80" i="5"/>
  <c r="L80" i="5"/>
  <c r="O79" i="5"/>
  <c r="N79" i="5"/>
  <c r="M79" i="5"/>
  <c r="L79" i="5"/>
  <c r="O78" i="5"/>
  <c r="N78" i="5"/>
  <c r="M78" i="5"/>
  <c r="L78" i="5"/>
  <c r="K78" i="5"/>
  <c r="O77" i="5"/>
  <c r="N77" i="5"/>
  <c r="M77" i="5"/>
  <c r="L77" i="5"/>
  <c r="O76" i="5"/>
  <c r="N76" i="5"/>
  <c r="M76" i="5"/>
  <c r="L76" i="5"/>
  <c r="O75" i="5"/>
  <c r="N75" i="5"/>
  <c r="M75" i="5"/>
  <c r="L75" i="5"/>
  <c r="O74" i="5"/>
  <c r="N74" i="5"/>
  <c r="M74" i="5"/>
  <c r="L74" i="5"/>
  <c r="O73" i="5"/>
  <c r="N73" i="5"/>
  <c r="M73" i="5"/>
  <c r="L73" i="5"/>
  <c r="O72" i="5"/>
  <c r="N72" i="5"/>
  <c r="M72" i="5"/>
  <c r="L72" i="5"/>
  <c r="O71" i="5"/>
  <c r="N71" i="5"/>
  <c r="M71" i="5"/>
  <c r="L71" i="5"/>
  <c r="O70" i="5"/>
  <c r="N70" i="5"/>
  <c r="M70" i="5"/>
  <c r="L70" i="5"/>
  <c r="K70" i="5"/>
  <c r="O69" i="5"/>
  <c r="N69" i="5"/>
  <c r="M69" i="5"/>
  <c r="L69" i="5"/>
  <c r="O68" i="5"/>
  <c r="N68" i="5"/>
  <c r="M68" i="5"/>
  <c r="L68" i="5"/>
  <c r="K68" i="5"/>
  <c r="O67" i="5"/>
  <c r="N67" i="5"/>
  <c r="M67" i="5"/>
  <c r="L67" i="5"/>
  <c r="K67" i="5"/>
  <c r="O66" i="5"/>
  <c r="N66" i="5"/>
  <c r="M66" i="5"/>
  <c r="L66" i="5"/>
  <c r="O65" i="5"/>
  <c r="N65" i="5"/>
  <c r="M65" i="5"/>
  <c r="L65" i="5"/>
  <c r="K65" i="5"/>
  <c r="O64" i="5"/>
  <c r="N64" i="5"/>
  <c r="M64" i="5"/>
  <c r="L64" i="5"/>
  <c r="O63" i="5"/>
  <c r="N63" i="5"/>
  <c r="M63" i="5"/>
  <c r="L63" i="5"/>
  <c r="K63" i="5"/>
  <c r="O62" i="5"/>
  <c r="N62" i="5"/>
  <c r="M62" i="5"/>
  <c r="L62" i="5"/>
  <c r="K62" i="5"/>
  <c r="O61" i="5"/>
  <c r="N61" i="5"/>
  <c r="M61" i="5"/>
  <c r="L61" i="5"/>
  <c r="K61" i="5"/>
  <c r="O60" i="5"/>
  <c r="N60" i="5"/>
  <c r="M60" i="5"/>
  <c r="L60" i="5"/>
  <c r="K60" i="5"/>
  <c r="O59" i="5"/>
  <c r="N59" i="5"/>
  <c r="M59" i="5"/>
  <c r="L59" i="5"/>
  <c r="O58" i="5"/>
  <c r="N58" i="5"/>
  <c r="M58" i="5"/>
  <c r="L58" i="5"/>
  <c r="O57" i="5"/>
  <c r="N57" i="5"/>
  <c r="M57" i="5"/>
  <c r="L57" i="5"/>
  <c r="K57" i="5"/>
  <c r="O56" i="5"/>
  <c r="N56" i="5"/>
  <c r="M56" i="5"/>
  <c r="L56" i="5"/>
  <c r="K56" i="5"/>
  <c r="O55" i="5"/>
  <c r="N55" i="5"/>
  <c r="M55" i="5"/>
  <c r="L55" i="5"/>
  <c r="K55" i="5"/>
  <c r="O54" i="5"/>
  <c r="N54" i="5"/>
  <c r="M54" i="5"/>
  <c r="L54" i="5"/>
  <c r="O53" i="5"/>
  <c r="N53" i="5"/>
  <c r="M53" i="5"/>
  <c r="L53" i="5"/>
  <c r="O52" i="5"/>
  <c r="N52" i="5"/>
  <c r="M52" i="5"/>
  <c r="L52" i="5"/>
  <c r="O51" i="5"/>
  <c r="N51" i="5"/>
  <c r="M51" i="5"/>
  <c r="L51" i="5"/>
  <c r="O50" i="5"/>
  <c r="N50" i="5"/>
  <c r="M50" i="5"/>
  <c r="L50" i="5"/>
  <c r="O49" i="5"/>
  <c r="N49" i="5"/>
  <c r="M49" i="5"/>
  <c r="L49" i="5"/>
  <c r="O48" i="5"/>
  <c r="N48" i="5"/>
  <c r="M48" i="5"/>
  <c r="L48" i="5"/>
  <c r="O47" i="5"/>
  <c r="N47" i="5"/>
  <c r="M47" i="5"/>
  <c r="L47" i="5"/>
  <c r="O46" i="5"/>
  <c r="N46" i="5"/>
  <c r="M46" i="5"/>
  <c r="L46" i="5"/>
  <c r="O45" i="5"/>
  <c r="N45" i="5"/>
  <c r="M45" i="5"/>
  <c r="L45" i="5"/>
  <c r="O44" i="5"/>
  <c r="N44" i="5"/>
  <c r="M44" i="5"/>
  <c r="L44" i="5"/>
  <c r="O43" i="5"/>
  <c r="N43" i="5"/>
  <c r="M43" i="5"/>
  <c r="L43" i="5"/>
  <c r="O42" i="5"/>
  <c r="N42" i="5"/>
  <c r="M42" i="5"/>
  <c r="L42" i="5"/>
  <c r="O41" i="5"/>
  <c r="N41" i="5"/>
  <c r="M41" i="5"/>
  <c r="L41" i="5"/>
  <c r="O40" i="5"/>
  <c r="N40" i="5"/>
  <c r="M40" i="5"/>
  <c r="L40" i="5"/>
  <c r="O39" i="5"/>
  <c r="N39" i="5"/>
  <c r="M39" i="5"/>
  <c r="L39" i="5"/>
  <c r="O38" i="5"/>
  <c r="N38" i="5"/>
  <c r="M38" i="5"/>
  <c r="L38" i="5"/>
  <c r="K38" i="5"/>
  <c r="O37" i="5"/>
  <c r="N37" i="5"/>
  <c r="M37" i="5"/>
  <c r="L37" i="5"/>
  <c r="K37" i="5"/>
  <c r="O36" i="5"/>
  <c r="N36" i="5"/>
  <c r="M36" i="5"/>
  <c r="L36" i="5"/>
  <c r="O35" i="5"/>
  <c r="N35" i="5"/>
  <c r="M35" i="5"/>
  <c r="L35" i="5"/>
  <c r="K35" i="5"/>
  <c r="O34" i="5"/>
  <c r="N34" i="5"/>
  <c r="M34" i="5"/>
  <c r="L34" i="5"/>
  <c r="O33" i="5"/>
  <c r="N33" i="5"/>
  <c r="M33" i="5"/>
  <c r="L33" i="5"/>
  <c r="O32" i="5"/>
  <c r="N32" i="5"/>
  <c r="M32" i="5"/>
  <c r="L32" i="5"/>
  <c r="O31" i="5"/>
  <c r="N31" i="5"/>
  <c r="M31" i="5"/>
  <c r="L31" i="5"/>
  <c r="O30" i="5"/>
  <c r="N30" i="5"/>
  <c r="M30" i="5"/>
  <c r="L30" i="5"/>
  <c r="K30" i="5"/>
  <c r="O29" i="5"/>
  <c r="N29" i="5"/>
  <c r="M29" i="5"/>
  <c r="L29" i="5"/>
  <c r="K29" i="5"/>
  <c r="O28" i="5"/>
  <c r="N28" i="5"/>
  <c r="M28" i="5"/>
  <c r="L28" i="5"/>
  <c r="O27" i="5"/>
  <c r="N27" i="5"/>
  <c r="M27" i="5"/>
  <c r="L27" i="5"/>
  <c r="O26" i="5"/>
  <c r="N26" i="5"/>
  <c r="M26" i="5"/>
  <c r="L26" i="5"/>
  <c r="K26" i="5"/>
  <c r="O25" i="5"/>
  <c r="N25" i="5"/>
  <c r="M25" i="5"/>
  <c r="L25" i="5"/>
  <c r="O24" i="5"/>
  <c r="N24" i="5"/>
  <c r="M24" i="5"/>
  <c r="L24" i="5"/>
  <c r="O23" i="5"/>
  <c r="N23" i="5"/>
  <c r="M23" i="5"/>
  <c r="L23" i="5"/>
  <c r="O22" i="5"/>
  <c r="N22" i="5"/>
  <c r="M22" i="5"/>
  <c r="L22" i="5"/>
  <c r="O21" i="5"/>
  <c r="N21" i="5"/>
  <c r="M21" i="5"/>
  <c r="L21" i="5"/>
  <c r="O20" i="5"/>
  <c r="N20" i="5"/>
  <c r="M20" i="5"/>
  <c r="L20" i="5"/>
  <c r="O19" i="5"/>
  <c r="N19" i="5"/>
  <c r="M19" i="5"/>
  <c r="L19" i="5"/>
  <c r="O18" i="5"/>
  <c r="N18" i="5"/>
  <c r="M18" i="5"/>
  <c r="L18" i="5"/>
  <c r="O17" i="5"/>
  <c r="N17" i="5"/>
  <c r="M17" i="5"/>
  <c r="L17" i="5"/>
  <c r="K17" i="5"/>
  <c r="O16" i="5"/>
  <c r="N16" i="5"/>
  <c r="M16" i="5"/>
  <c r="L16" i="5"/>
  <c r="K16" i="5"/>
  <c r="O14" i="5"/>
  <c r="N14" i="5"/>
  <c r="M14" i="5"/>
  <c r="L14" i="5"/>
  <c r="O13" i="5"/>
  <c r="N13" i="5"/>
  <c r="M13" i="5"/>
  <c r="L13" i="5"/>
  <c r="K13" i="5"/>
  <c r="O12" i="5"/>
  <c r="N12" i="5"/>
  <c r="M12" i="5"/>
  <c r="L12" i="5"/>
  <c r="O11" i="5"/>
  <c r="N11" i="5"/>
  <c r="M11" i="5"/>
  <c r="L11" i="5"/>
  <c r="O8" i="5"/>
  <c r="N8" i="5"/>
  <c r="M8" i="5"/>
  <c r="L8" i="5"/>
  <c r="O7" i="5"/>
  <c r="N7" i="5"/>
  <c r="M7" i="5"/>
  <c r="L7" i="5"/>
  <c r="O6" i="5"/>
  <c r="N6" i="5"/>
  <c r="M6" i="5"/>
  <c r="L6" i="5"/>
  <c r="O5" i="5"/>
  <c r="N5" i="5"/>
  <c r="M5" i="5"/>
  <c r="L5" i="5"/>
  <c r="O4" i="5"/>
  <c r="N4" i="5"/>
  <c r="M4" i="5"/>
  <c r="L4" i="5"/>
  <c r="O3" i="5"/>
  <c r="N3" i="5"/>
  <c r="M3" i="5"/>
  <c r="L3" i="5"/>
  <c r="O2" i="5"/>
  <c r="N2" i="5"/>
  <c r="M2" i="5"/>
  <c r="L2" i="5"/>
  <c r="O1" i="5"/>
  <c r="N1" i="5"/>
  <c r="M1" i="5"/>
  <c r="L1" i="5"/>
  <c r="N85" i="4"/>
  <c r="M85" i="4"/>
  <c r="L85" i="4"/>
  <c r="K85" i="4"/>
  <c r="J85" i="4"/>
  <c r="N84" i="4"/>
  <c r="M84" i="4"/>
  <c r="L84" i="4"/>
  <c r="K84" i="4"/>
  <c r="J84" i="4"/>
  <c r="N83" i="4"/>
  <c r="M83" i="4"/>
  <c r="L83" i="4"/>
  <c r="K83" i="4"/>
  <c r="J83" i="4"/>
  <c r="N82" i="4"/>
  <c r="M82" i="4"/>
  <c r="L82" i="4"/>
  <c r="K82" i="4"/>
  <c r="J82" i="4"/>
  <c r="N81" i="4"/>
  <c r="M81" i="4"/>
  <c r="L81" i="4"/>
  <c r="K81" i="4"/>
  <c r="J81" i="4"/>
  <c r="N80" i="4"/>
  <c r="M80" i="4"/>
  <c r="L80" i="4"/>
  <c r="K80" i="4"/>
  <c r="J80" i="4"/>
  <c r="N79" i="4"/>
  <c r="M79" i="4"/>
  <c r="L79" i="4"/>
  <c r="K79" i="4"/>
  <c r="J79" i="4"/>
  <c r="N78" i="4"/>
  <c r="M78" i="4"/>
  <c r="L78" i="4"/>
  <c r="K78" i="4"/>
  <c r="J78" i="4"/>
  <c r="N77" i="4"/>
  <c r="M77" i="4"/>
  <c r="L77" i="4"/>
  <c r="K77" i="4"/>
  <c r="J77" i="4"/>
  <c r="N76" i="4"/>
  <c r="M76" i="4"/>
  <c r="L76" i="4"/>
  <c r="K76" i="4"/>
  <c r="J76" i="4"/>
  <c r="N75" i="4"/>
  <c r="M75" i="4"/>
  <c r="L75" i="4"/>
  <c r="K75" i="4"/>
  <c r="J75" i="4"/>
  <c r="N74" i="4"/>
  <c r="M74" i="4"/>
  <c r="L74" i="4"/>
  <c r="K74" i="4"/>
  <c r="J74" i="4"/>
  <c r="N73" i="4"/>
  <c r="M73" i="4"/>
  <c r="L73" i="4"/>
  <c r="K73" i="4"/>
  <c r="J73" i="4"/>
  <c r="N72" i="4"/>
  <c r="M72" i="4"/>
  <c r="L72" i="4"/>
  <c r="K72" i="4"/>
  <c r="J72" i="4"/>
  <c r="N71" i="4"/>
  <c r="M71" i="4"/>
  <c r="L71" i="4"/>
  <c r="K71" i="4"/>
  <c r="J71" i="4"/>
  <c r="N70" i="4"/>
  <c r="M70" i="4"/>
  <c r="L70" i="4"/>
  <c r="K70" i="4"/>
  <c r="J70" i="4"/>
  <c r="N69" i="4"/>
  <c r="M69" i="4"/>
  <c r="L69" i="4"/>
  <c r="K69" i="4"/>
  <c r="J69" i="4"/>
  <c r="N68" i="4"/>
  <c r="M68" i="4"/>
  <c r="L68" i="4"/>
  <c r="K68" i="4"/>
  <c r="J68" i="4"/>
  <c r="N67" i="4"/>
  <c r="M67" i="4"/>
  <c r="L67" i="4"/>
  <c r="K67" i="4"/>
  <c r="J67" i="4"/>
  <c r="N66" i="4"/>
  <c r="M66" i="4"/>
  <c r="L66" i="4"/>
  <c r="K66" i="4"/>
  <c r="J66" i="4"/>
  <c r="N65" i="4"/>
  <c r="M65" i="4"/>
  <c r="L65" i="4"/>
  <c r="K65" i="4"/>
  <c r="J65" i="4"/>
  <c r="N64" i="4"/>
  <c r="M64" i="4"/>
  <c r="L64" i="4"/>
  <c r="K64" i="4"/>
  <c r="J64" i="4"/>
  <c r="N63" i="4"/>
  <c r="M63" i="4"/>
  <c r="L63" i="4"/>
  <c r="K63" i="4"/>
  <c r="J63" i="4"/>
  <c r="N62" i="4"/>
  <c r="M62" i="4"/>
  <c r="L62" i="4"/>
  <c r="K62" i="4"/>
  <c r="J62" i="4"/>
  <c r="N61" i="4"/>
  <c r="M61" i="4"/>
  <c r="L61" i="4"/>
  <c r="K61" i="4"/>
  <c r="J61" i="4"/>
  <c r="N60" i="4"/>
  <c r="M60" i="4"/>
  <c r="L60" i="4"/>
  <c r="K60" i="4"/>
  <c r="J60" i="4"/>
  <c r="N59" i="4"/>
  <c r="M59" i="4"/>
  <c r="L59" i="4"/>
  <c r="K59" i="4"/>
  <c r="J59" i="4"/>
  <c r="N58" i="4"/>
  <c r="M58" i="4"/>
  <c r="L58" i="4"/>
  <c r="K58" i="4"/>
  <c r="J58" i="4"/>
  <c r="N57" i="4"/>
  <c r="M57" i="4"/>
  <c r="L57" i="4"/>
  <c r="K57" i="4"/>
  <c r="J57" i="4"/>
  <c r="N56" i="4"/>
  <c r="M56" i="4"/>
  <c r="L56" i="4"/>
  <c r="K56" i="4"/>
  <c r="J56" i="4"/>
  <c r="N55" i="4"/>
  <c r="M55" i="4"/>
  <c r="L55" i="4"/>
  <c r="K55" i="4"/>
  <c r="J55" i="4"/>
  <c r="N54" i="4"/>
  <c r="M54" i="4"/>
  <c r="L54" i="4"/>
  <c r="K54" i="4"/>
  <c r="J54" i="4"/>
  <c r="N53" i="4"/>
  <c r="M53" i="4"/>
  <c r="L53" i="4"/>
  <c r="K53" i="4"/>
  <c r="J53" i="4"/>
  <c r="N52" i="4"/>
  <c r="M52" i="4"/>
  <c r="L52" i="4"/>
  <c r="K52" i="4"/>
  <c r="J52" i="4"/>
  <c r="N51" i="4"/>
  <c r="M51" i="4"/>
  <c r="L51" i="4"/>
  <c r="K51" i="4"/>
  <c r="J51" i="4"/>
  <c r="N50" i="4"/>
  <c r="M50" i="4"/>
  <c r="L50" i="4"/>
  <c r="K50" i="4"/>
  <c r="J50" i="4"/>
  <c r="N49" i="4"/>
  <c r="M49" i="4"/>
  <c r="L49" i="4"/>
  <c r="K49" i="4"/>
  <c r="J49" i="4"/>
  <c r="N48" i="4"/>
  <c r="M48" i="4"/>
  <c r="L48" i="4"/>
  <c r="K48" i="4"/>
  <c r="J48" i="4"/>
  <c r="N47" i="4"/>
  <c r="M47" i="4"/>
  <c r="L47" i="4"/>
  <c r="K47" i="4"/>
  <c r="J47" i="4"/>
  <c r="N46" i="4"/>
  <c r="M46" i="4"/>
  <c r="L46" i="4"/>
  <c r="K46" i="4"/>
  <c r="J46" i="4"/>
  <c r="N45" i="4"/>
  <c r="M45" i="4"/>
  <c r="L45" i="4"/>
  <c r="K45" i="4"/>
  <c r="J45" i="4"/>
  <c r="N44" i="4"/>
  <c r="M44" i="4"/>
  <c r="L44" i="4"/>
  <c r="K44" i="4"/>
  <c r="J44" i="4"/>
  <c r="N43" i="4"/>
  <c r="M43" i="4"/>
  <c r="L43" i="4"/>
  <c r="K43" i="4"/>
  <c r="J43" i="4"/>
  <c r="N42" i="4"/>
  <c r="M42" i="4"/>
  <c r="L42" i="4"/>
  <c r="K42" i="4"/>
  <c r="J42" i="4"/>
  <c r="N41" i="4"/>
  <c r="M41" i="4"/>
  <c r="L41" i="4"/>
  <c r="K41" i="4"/>
  <c r="J41" i="4"/>
  <c r="N40" i="4"/>
  <c r="M40" i="4"/>
  <c r="L40" i="4"/>
  <c r="K40" i="4"/>
  <c r="J40" i="4"/>
  <c r="N39" i="4"/>
  <c r="M39" i="4"/>
  <c r="L39" i="4"/>
  <c r="K39" i="4"/>
  <c r="J39" i="4"/>
  <c r="N38" i="4"/>
  <c r="M38" i="4"/>
  <c r="L38" i="4"/>
  <c r="K38" i="4"/>
  <c r="J38" i="4"/>
  <c r="N37" i="4"/>
  <c r="M37" i="4"/>
  <c r="L37" i="4"/>
  <c r="K37" i="4"/>
  <c r="J37" i="4"/>
  <c r="N36" i="4"/>
  <c r="M36" i="4"/>
  <c r="L36" i="4"/>
  <c r="K36" i="4"/>
  <c r="J36" i="4"/>
  <c r="N35" i="4"/>
  <c r="M35" i="4"/>
  <c r="L35" i="4"/>
  <c r="K35" i="4"/>
  <c r="J35" i="4"/>
  <c r="N34" i="4"/>
  <c r="M34" i="4"/>
  <c r="L34" i="4"/>
  <c r="K34" i="4"/>
  <c r="J34" i="4"/>
  <c r="N33" i="4"/>
  <c r="M33" i="4"/>
  <c r="L33" i="4"/>
  <c r="K33" i="4"/>
  <c r="J33" i="4"/>
  <c r="N32" i="4"/>
  <c r="M32" i="4"/>
  <c r="L32" i="4"/>
  <c r="K32" i="4"/>
  <c r="J32" i="4"/>
  <c r="N31" i="4"/>
  <c r="M31" i="4"/>
  <c r="L31" i="4"/>
  <c r="K31" i="4"/>
  <c r="J31" i="4"/>
  <c r="N30" i="4"/>
  <c r="M30" i="4"/>
  <c r="L30" i="4"/>
  <c r="K30" i="4"/>
  <c r="J30" i="4"/>
  <c r="N29" i="4"/>
  <c r="M29" i="4"/>
  <c r="L29" i="4"/>
  <c r="K29" i="4"/>
  <c r="J29" i="4"/>
  <c r="N28" i="4"/>
  <c r="M28" i="4"/>
  <c r="L28" i="4"/>
  <c r="K28" i="4"/>
  <c r="J28" i="4"/>
  <c r="N27" i="4"/>
  <c r="M27" i="4"/>
  <c r="L27" i="4"/>
  <c r="K27" i="4"/>
  <c r="J27" i="4"/>
  <c r="N26" i="4"/>
  <c r="M26" i="4"/>
  <c r="L26" i="4"/>
  <c r="K26" i="4"/>
  <c r="J26" i="4"/>
  <c r="N25" i="4"/>
  <c r="M25" i="4"/>
  <c r="L25" i="4"/>
  <c r="K25" i="4"/>
  <c r="J25" i="4"/>
  <c r="N24" i="4"/>
  <c r="M24" i="4"/>
  <c r="L24" i="4"/>
  <c r="K24" i="4"/>
  <c r="J24" i="4"/>
  <c r="N23" i="4"/>
  <c r="M23" i="4"/>
  <c r="L23" i="4"/>
  <c r="K23" i="4"/>
  <c r="J23" i="4"/>
  <c r="N22" i="4"/>
  <c r="M22" i="4"/>
  <c r="L22" i="4"/>
  <c r="K22" i="4"/>
  <c r="J22" i="4"/>
  <c r="N21" i="4"/>
  <c r="M21" i="4"/>
  <c r="L21" i="4"/>
  <c r="K21" i="4"/>
  <c r="J21" i="4"/>
  <c r="N20" i="4"/>
  <c r="M20" i="4"/>
  <c r="L20" i="4"/>
  <c r="K20" i="4"/>
  <c r="J20" i="4"/>
  <c r="N19" i="4"/>
  <c r="M19" i="4"/>
  <c r="L19" i="4"/>
  <c r="K19" i="4"/>
  <c r="J19" i="4"/>
  <c r="N18" i="4"/>
  <c r="M18" i="4"/>
  <c r="L18" i="4"/>
  <c r="K18" i="4"/>
  <c r="J18" i="4"/>
  <c r="N17" i="4"/>
  <c r="M17" i="4"/>
  <c r="L17" i="4"/>
  <c r="K17" i="4"/>
  <c r="J17" i="4"/>
  <c r="N16" i="4"/>
  <c r="M16" i="4"/>
  <c r="L16" i="4"/>
  <c r="K16" i="4"/>
  <c r="J16" i="4"/>
  <c r="N15" i="4"/>
  <c r="M15" i="4"/>
  <c r="L15" i="4"/>
  <c r="K15" i="4"/>
  <c r="J15" i="4"/>
  <c r="N14" i="4"/>
  <c r="M14" i="4"/>
  <c r="L14" i="4"/>
  <c r="K14" i="4"/>
  <c r="J14" i="4"/>
  <c r="N13" i="4"/>
  <c r="M13" i="4"/>
  <c r="L13" i="4"/>
  <c r="K13" i="4"/>
  <c r="J13" i="4"/>
  <c r="N12" i="4"/>
  <c r="M12" i="4"/>
  <c r="L12" i="4"/>
  <c r="K12" i="4"/>
  <c r="J12" i="4"/>
  <c r="N11" i="4"/>
  <c r="M11" i="4"/>
  <c r="L11" i="4"/>
  <c r="K11" i="4"/>
  <c r="J11" i="4"/>
  <c r="N10" i="4"/>
  <c r="M10" i="4"/>
  <c r="L10" i="4"/>
  <c r="K10" i="4"/>
  <c r="J10" i="4"/>
  <c r="N9" i="4"/>
  <c r="M9" i="4"/>
  <c r="L9" i="4"/>
  <c r="K9" i="4"/>
  <c r="J9" i="4"/>
  <c r="N8" i="4"/>
  <c r="M8" i="4"/>
  <c r="L8" i="4"/>
  <c r="K8" i="4"/>
  <c r="J8" i="4"/>
  <c r="N7" i="4"/>
  <c r="M7" i="4"/>
  <c r="L7" i="4"/>
  <c r="K7" i="4"/>
  <c r="J7" i="4"/>
  <c r="N6" i="4"/>
  <c r="M6" i="4"/>
  <c r="L6" i="4"/>
  <c r="K6" i="4"/>
  <c r="J6" i="4"/>
  <c r="N5" i="4"/>
  <c r="M5" i="4"/>
  <c r="L5" i="4"/>
  <c r="K5" i="4"/>
  <c r="J5" i="4"/>
  <c r="N4" i="4"/>
  <c r="M4" i="4"/>
  <c r="L4" i="4"/>
  <c r="K4" i="4"/>
  <c r="J4" i="4"/>
  <c r="N3" i="4"/>
  <c r="M3" i="4"/>
  <c r="L3" i="4"/>
  <c r="K3" i="4"/>
  <c r="J3" i="4"/>
  <c r="N2" i="4"/>
  <c r="M2" i="4"/>
  <c r="L2" i="4"/>
  <c r="K2" i="4"/>
  <c r="J2" i="4"/>
  <c r="N1" i="4"/>
  <c r="M1" i="4"/>
  <c r="L1" i="4"/>
  <c r="K1" i="4"/>
  <c r="J1" i="4"/>
  <c r="O87" i="1"/>
  <c r="N87" i="1"/>
  <c r="M87" i="1"/>
  <c r="L87" i="1"/>
  <c r="O86" i="1"/>
  <c r="N86" i="1"/>
  <c r="M86" i="1"/>
  <c r="L86" i="1"/>
  <c r="O85" i="1"/>
  <c r="N85" i="1"/>
  <c r="M85" i="1"/>
  <c r="L85" i="1"/>
  <c r="O84" i="1"/>
  <c r="N84" i="1"/>
  <c r="M84" i="1"/>
  <c r="L84" i="1"/>
  <c r="O83" i="1"/>
  <c r="N83" i="1"/>
  <c r="M83" i="1"/>
  <c r="L83" i="1"/>
  <c r="K83" i="1"/>
  <c r="O82" i="1"/>
  <c r="N82" i="1"/>
  <c r="M82" i="1"/>
  <c r="L82" i="1"/>
  <c r="O81" i="1"/>
  <c r="N81" i="1"/>
  <c r="M81" i="1"/>
  <c r="L81" i="1"/>
  <c r="O80" i="1"/>
  <c r="N80" i="1"/>
  <c r="M80" i="1"/>
  <c r="L80" i="1"/>
  <c r="K80" i="1"/>
  <c r="O79" i="1"/>
  <c r="N79" i="1"/>
  <c r="M79" i="1"/>
  <c r="L79" i="1"/>
  <c r="O78" i="1"/>
  <c r="N78" i="1"/>
  <c r="M78" i="1"/>
  <c r="L78" i="1"/>
  <c r="O77" i="1"/>
  <c r="N77" i="1"/>
  <c r="M77" i="1"/>
  <c r="L77" i="1"/>
  <c r="O76" i="1"/>
  <c r="N76" i="1"/>
  <c r="M76" i="1"/>
  <c r="L76" i="1"/>
  <c r="O75" i="1"/>
  <c r="N75" i="1"/>
  <c r="M75" i="1"/>
  <c r="L75" i="1"/>
  <c r="O74" i="1"/>
  <c r="N74" i="1"/>
  <c r="M74" i="1"/>
  <c r="L74" i="1"/>
  <c r="O73" i="1"/>
  <c r="N73" i="1"/>
  <c r="M73" i="1"/>
  <c r="L73" i="1"/>
  <c r="O72" i="1"/>
  <c r="N72" i="1"/>
  <c r="M72" i="1"/>
  <c r="L72" i="1"/>
  <c r="K72" i="1"/>
  <c r="O71" i="1"/>
  <c r="N71" i="1"/>
  <c r="M71" i="1"/>
  <c r="L71" i="1"/>
  <c r="O70" i="1"/>
  <c r="N70" i="1"/>
  <c r="M70" i="1"/>
  <c r="L70" i="1"/>
  <c r="K70" i="1"/>
  <c r="O69" i="1"/>
  <c r="N69" i="1"/>
  <c r="M69" i="1"/>
  <c r="L69" i="1"/>
  <c r="K69" i="1"/>
  <c r="O68" i="1"/>
  <c r="N68" i="1"/>
  <c r="M68" i="1"/>
  <c r="L68" i="1"/>
  <c r="O67" i="1"/>
  <c r="N67" i="1"/>
  <c r="M67" i="1"/>
  <c r="L67" i="1"/>
  <c r="K67" i="1"/>
  <c r="O66" i="1"/>
  <c r="N66" i="1"/>
  <c r="M66" i="1"/>
  <c r="L66" i="1"/>
  <c r="O65" i="1"/>
  <c r="N65" i="1"/>
  <c r="M65" i="1"/>
  <c r="L65" i="1"/>
  <c r="K65" i="1"/>
  <c r="O64" i="1"/>
  <c r="N64" i="1"/>
  <c r="M64" i="1"/>
  <c r="L64" i="1"/>
  <c r="K64" i="1"/>
  <c r="O63" i="1"/>
  <c r="N63" i="1"/>
  <c r="M63" i="1"/>
  <c r="L63" i="1"/>
  <c r="K63" i="1"/>
  <c r="O62" i="1"/>
  <c r="N62" i="1"/>
  <c r="M62" i="1"/>
  <c r="L62" i="1"/>
  <c r="K62" i="1"/>
  <c r="O61" i="1"/>
  <c r="N61" i="1"/>
  <c r="M61" i="1"/>
  <c r="L61" i="1"/>
  <c r="O60" i="1"/>
  <c r="N60" i="1"/>
  <c r="M60" i="1"/>
  <c r="L60" i="1"/>
  <c r="O59" i="1"/>
  <c r="N59" i="1"/>
  <c r="M59" i="1"/>
  <c r="L59" i="1"/>
  <c r="K59" i="1"/>
  <c r="O58" i="1"/>
  <c r="N58" i="1"/>
  <c r="M58" i="1"/>
  <c r="L58" i="1"/>
  <c r="K58" i="1"/>
  <c r="O57" i="1"/>
  <c r="N57" i="1"/>
  <c r="M57" i="1"/>
  <c r="L57" i="1"/>
  <c r="K57" i="1"/>
  <c r="O56" i="1"/>
  <c r="N56" i="1"/>
  <c r="M56" i="1"/>
  <c r="L56" i="1"/>
  <c r="O55" i="1"/>
  <c r="N55" i="1"/>
  <c r="M55" i="1"/>
  <c r="L55" i="1"/>
  <c r="O54" i="1"/>
  <c r="N54" i="1"/>
  <c r="M54" i="1"/>
  <c r="L54" i="1"/>
  <c r="O53" i="1"/>
  <c r="N53" i="1"/>
  <c r="M53" i="1"/>
  <c r="L53" i="1"/>
  <c r="O51" i="1"/>
  <c r="N51" i="1"/>
  <c r="M51" i="1"/>
  <c r="L51" i="1"/>
  <c r="O50" i="1"/>
  <c r="N50" i="1"/>
  <c r="M50" i="1"/>
  <c r="L50" i="1"/>
  <c r="O49" i="1"/>
  <c r="N49" i="1"/>
  <c r="M49" i="1"/>
  <c r="L49" i="1"/>
  <c r="O48" i="1"/>
  <c r="N48" i="1"/>
  <c r="M48" i="1"/>
  <c r="L48" i="1"/>
  <c r="O47" i="1"/>
  <c r="N47" i="1"/>
  <c r="M47" i="1"/>
  <c r="L47" i="1"/>
  <c r="O46" i="1"/>
  <c r="N46" i="1"/>
  <c r="M46" i="1"/>
  <c r="L46" i="1"/>
  <c r="O45" i="1"/>
  <c r="N45" i="1"/>
  <c r="M45" i="1"/>
  <c r="L45" i="1"/>
  <c r="O44" i="1"/>
  <c r="N44" i="1"/>
  <c r="M44" i="1"/>
  <c r="L44" i="1"/>
  <c r="O43" i="1"/>
  <c r="N43" i="1"/>
  <c r="M43" i="1"/>
  <c r="L43" i="1"/>
  <c r="O42" i="1"/>
  <c r="N42" i="1"/>
  <c r="M42" i="1"/>
  <c r="L42" i="1"/>
  <c r="O41" i="1"/>
  <c r="N41" i="1"/>
  <c r="M41" i="1"/>
  <c r="L41" i="1"/>
  <c r="K41" i="1"/>
  <c r="O40" i="1"/>
  <c r="N40" i="1"/>
  <c r="M40" i="1"/>
  <c r="L40" i="1"/>
  <c r="K40" i="1"/>
  <c r="O39" i="1"/>
  <c r="N39" i="1"/>
  <c r="M39" i="1"/>
  <c r="L39" i="1"/>
  <c r="O38" i="1"/>
  <c r="N38" i="1"/>
  <c r="M38" i="1"/>
  <c r="L38" i="1"/>
  <c r="K38" i="1"/>
  <c r="O37" i="1"/>
  <c r="N37" i="1"/>
  <c r="M37" i="1"/>
  <c r="L37" i="1"/>
  <c r="O36" i="1"/>
  <c r="N36" i="1"/>
  <c r="M36" i="1"/>
  <c r="L36" i="1"/>
  <c r="O35" i="1"/>
  <c r="N35" i="1"/>
  <c r="M35" i="1"/>
  <c r="L35" i="1"/>
  <c r="O34" i="1"/>
  <c r="N34" i="1"/>
  <c r="M34" i="1"/>
  <c r="L34" i="1"/>
  <c r="O33" i="1"/>
  <c r="N33" i="1"/>
  <c r="M33" i="1"/>
  <c r="L33" i="1"/>
  <c r="K33" i="1"/>
  <c r="O32" i="1"/>
  <c r="N32" i="1"/>
  <c r="M32" i="1"/>
  <c r="L32" i="1"/>
  <c r="K32" i="1"/>
  <c r="O31" i="1"/>
  <c r="N31" i="1"/>
  <c r="M31" i="1"/>
  <c r="L31" i="1"/>
  <c r="O30" i="1"/>
  <c r="N30" i="1"/>
  <c r="M30" i="1"/>
  <c r="L30" i="1"/>
  <c r="O29" i="1"/>
  <c r="N29" i="1"/>
  <c r="M29" i="1"/>
  <c r="L29" i="1"/>
  <c r="K29" i="1"/>
  <c r="O27" i="1"/>
  <c r="N27" i="1"/>
  <c r="M27" i="1"/>
  <c r="L27" i="1"/>
  <c r="O26" i="1"/>
  <c r="N26" i="1"/>
  <c r="M26" i="1"/>
  <c r="L26" i="1"/>
  <c r="O25" i="1"/>
  <c r="N25" i="1"/>
  <c r="M25" i="1"/>
  <c r="L25" i="1"/>
  <c r="O24" i="1"/>
  <c r="N24" i="1"/>
  <c r="M24" i="1"/>
  <c r="L24" i="1"/>
  <c r="O23" i="1"/>
  <c r="N23" i="1"/>
  <c r="M23" i="1"/>
  <c r="L23" i="1"/>
  <c r="O22" i="1"/>
  <c r="N22" i="1"/>
  <c r="M22" i="1"/>
  <c r="L22" i="1"/>
  <c r="O21" i="1"/>
  <c r="N21" i="1"/>
  <c r="M21" i="1"/>
  <c r="L21" i="1"/>
  <c r="O20" i="1"/>
  <c r="N20" i="1"/>
  <c r="M20" i="1"/>
  <c r="L20" i="1"/>
  <c r="O19" i="1"/>
  <c r="N19" i="1"/>
  <c r="M19" i="1"/>
  <c r="L19" i="1"/>
  <c r="K19" i="1"/>
  <c r="O18" i="1"/>
  <c r="N18" i="1"/>
  <c r="M18" i="1"/>
  <c r="L18" i="1"/>
  <c r="K18" i="1"/>
  <c r="O16" i="1"/>
  <c r="N16" i="1"/>
  <c r="M16" i="1"/>
  <c r="L16" i="1"/>
  <c r="O15" i="1"/>
  <c r="N15" i="1"/>
  <c r="M15" i="1"/>
  <c r="L15" i="1"/>
  <c r="K15" i="1"/>
  <c r="O14" i="1"/>
  <c r="N14" i="1"/>
  <c r="M14" i="1"/>
  <c r="L14" i="1"/>
  <c r="O13" i="1"/>
  <c r="N13" i="1"/>
  <c r="M13" i="1"/>
  <c r="L13" i="1"/>
  <c r="O10" i="1"/>
  <c r="N10" i="1"/>
  <c r="M10" i="1"/>
  <c r="L10" i="1"/>
  <c r="O9" i="1"/>
  <c r="N9" i="1"/>
  <c r="M9" i="1"/>
  <c r="L9" i="1"/>
  <c r="O8" i="1"/>
  <c r="N8" i="1"/>
  <c r="M8" i="1"/>
  <c r="L8" i="1"/>
  <c r="O7" i="1"/>
  <c r="N7" i="1"/>
  <c r="M7" i="1"/>
  <c r="L7" i="1"/>
  <c r="O6" i="1"/>
  <c r="N6" i="1"/>
  <c r="M6" i="1"/>
  <c r="L6" i="1"/>
  <c r="O5" i="1"/>
  <c r="N5" i="1"/>
  <c r="M5" i="1"/>
  <c r="L5" i="1"/>
  <c r="O4" i="1"/>
  <c r="N4" i="1"/>
  <c r="M4" i="1"/>
  <c r="L4" i="1"/>
  <c r="O2" i="1"/>
  <c r="N2" i="1"/>
  <c r="M2" i="1"/>
  <c r="L2" i="1"/>
</calcChain>
</file>

<file path=xl/sharedStrings.xml><?xml version="1.0" encoding="utf-8"?>
<sst xmlns="http://schemas.openxmlformats.org/spreadsheetml/2006/main" count="1791" uniqueCount="183">
  <si>
    <t>name</t>
  </si>
  <si>
    <t>code</t>
  </si>
  <si>
    <t>replicate1</t>
  </si>
  <si>
    <t>replicate2</t>
  </si>
  <si>
    <t>replicate3</t>
  </si>
  <si>
    <t>replicate4</t>
  </si>
  <si>
    <t>average</t>
  </si>
  <si>
    <t>pval (against respective OxA)</t>
  </si>
  <si>
    <t>system</t>
  </si>
  <si>
    <t>d42</t>
  </si>
  <si>
    <t>6566</t>
  </si>
  <si>
    <t>d34</t>
  </si>
  <si>
    <t>3547</t>
  </si>
  <si>
    <t>d36</t>
  </si>
  <si>
    <t>5682</t>
  </si>
  <si>
    <t>d46</t>
  </si>
  <si>
    <t>8519</t>
  </si>
  <si>
    <t>d48</t>
  </si>
  <si>
    <t>0889</t>
  </si>
  <si>
    <t>d40</t>
  </si>
  <si>
    <t>5299</t>
  </si>
  <si>
    <t>d27</t>
  </si>
  <si>
    <t>5262</t>
  </si>
  <si>
    <t>d54</t>
  </si>
  <si>
    <t>2521</t>
  </si>
  <si>
    <t>d52</t>
  </si>
  <si>
    <t>6323</t>
  </si>
  <si>
    <t>Seltorexant</t>
  </si>
  <si>
    <t>EMPA</t>
  </si>
  <si>
    <t>d62</t>
  </si>
  <si>
    <t>4909</t>
  </si>
  <si>
    <t>d63</t>
  </si>
  <si>
    <t>7391</t>
  </si>
  <si>
    <t>d84</t>
  </si>
  <si>
    <t>0920</t>
  </si>
  <si>
    <t>d47</t>
  </si>
  <si>
    <t>2185</t>
  </si>
  <si>
    <t>TCS-OX2-29</t>
  </si>
  <si>
    <t>d77</t>
  </si>
  <si>
    <t>8873</t>
  </si>
  <si>
    <t>d81</t>
  </si>
  <si>
    <t>4733</t>
  </si>
  <si>
    <t>d35</t>
  </si>
  <si>
    <t>4027</t>
  </si>
  <si>
    <t>d56</t>
  </si>
  <si>
    <t>2926</t>
  </si>
  <si>
    <t>d53</t>
  </si>
  <si>
    <t>1637</t>
  </si>
  <si>
    <t>d38</t>
  </si>
  <si>
    <t>0375</t>
  </si>
  <si>
    <t>d41</t>
  </si>
  <si>
    <t>1663</t>
  </si>
  <si>
    <t>d61</t>
  </si>
  <si>
    <t>6891</t>
  </si>
  <si>
    <t>d58</t>
  </si>
  <si>
    <t>3626</t>
  </si>
  <si>
    <t>d59</t>
  </si>
  <si>
    <t>2410</t>
  </si>
  <si>
    <t>d33</t>
  </si>
  <si>
    <t>3954</t>
  </si>
  <si>
    <t>d86</t>
  </si>
  <si>
    <t>9790</t>
  </si>
  <si>
    <t>d60</t>
  </si>
  <si>
    <t>1949</t>
  </si>
  <si>
    <t>d43</t>
  </si>
  <si>
    <t>1929</t>
  </si>
  <si>
    <t>d82</t>
  </si>
  <si>
    <t>4891</t>
  </si>
  <si>
    <t>d83</t>
  </si>
  <si>
    <t>8139</t>
  </si>
  <si>
    <t>d50</t>
  </si>
  <si>
    <t>2507</t>
  </si>
  <si>
    <t>d37</t>
  </si>
  <si>
    <t>0629</t>
  </si>
  <si>
    <t>d39</t>
  </si>
  <si>
    <t>4625</t>
  </si>
  <si>
    <t>d45</t>
  </si>
  <si>
    <t>3106</t>
  </si>
  <si>
    <t>d73</t>
  </si>
  <si>
    <t>6181</t>
  </si>
  <si>
    <t>d23</t>
  </si>
  <si>
    <t>1098</t>
  </si>
  <si>
    <t>d72</t>
  </si>
  <si>
    <t>0875</t>
  </si>
  <si>
    <t>d78</t>
  </si>
  <si>
    <t>7833</t>
  </si>
  <si>
    <t>d14</t>
  </si>
  <si>
    <t>3798</t>
  </si>
  <si>
    <t>d51</t>
  </si>
  <si>
    <t>3997</t>
  </si>
  <si>
    <t>d57</t>
  </si>
  <si>
    <t>7306</t>
  </si>
  <si>
    <t>d29</t>
  </si>
  <si>
    <t>2285</t>
  </si>
  <si>
    <t>d7</t>
  </si>
  <si>
    <t>3267</t>
  </si>
  <si>
    <t>d20</t>
  </si>
  <si>
    <t>4483</t>
  </si>
  <si>
    <t>d9</t>
  </si>
  <si>
    <t>4777</t>
  </si>
  <si>
    <t>d17</t>
  </si>
  <si>
    <t>7124</t>
  </si>
  <si>
    <t>d16</t>
  </si>
  <si>
    <t>6410</t>
  </si>
  <si>
    <t>d4</t>
  </si>
  <si>
    <t>7537</t>
  </si>
  <si>
    <t>d1</t>
  </si>
  <si>
    <t>8887</t>
  </si>
  <si>
    <t>d30</t>
  </si>
  <si>
    <t>8035</t>
  </si>
  <si>
    <t>d32</t>
  </si>
  <si>
    <t>5222</t>
  </si>
  <si>
    <t>d55</t>
  </si>
  <si>
    <t>2637</t>
  </si>
  <si>
    <t>d85</t>
  </si>
  <si>
    <t>0766</t>
  </si>
  <si>
    <t>d80</t>
  </si>
  <si>
    <t>6269</t>
  </si>
  <si>
    <t>d74</t>
  </si>
  <si>
    <t>6810</t>
  </si>
  <si>
    <t>d18</t>
  </si>
  <si>
    <t>0616</t>
  </si>
  <si>
    <t>d28</t>
  </si>
  <si>
    <t>8768</t>
  </si>
  <si>
    <t>d69</t>
  </si>
  <si>
    <t>2782</t>
  </si>
  <si>
    <t>d75</t>
  </si>
  <si>
    <t>6639</t>
  </si>
  <si>
    <t>d68</t>
  </si>
  <si>
    <t>4278</t>
  </si>
  <si>
    <t>d70</t>
  </si>
  <si>
    <t>5565</t>
  </si>
  <si>
    <t>d31</t>
  </si>
  <si>
    <t>d64</t>
  </si>
  <si>
    <t>7828</t>
  </si>
  <si>
    <t>d21</t>
  </si>
  <si>
    <t>3833</t>
  </si>
  <si>
    <t>d67</t>
  </si>
  <si>
    <t>3128</t>
  </si>
  <si>
    <t>d79</t>
  </si>
  <si>
    <t>5025</t>
  </si>
  <si>
    <t>d8</t>
  </si>
  <si>
    <t>1673</t>
  </si>
  <si>
    <t>d71</t>
  </si>
  <si>
    <t>9845</t>
  </si>
  <si>
    <t>d2</t>
  </si>
  <si>
    <t>2259</t>
  </si>
  <si>
    <t>d3</t>
  </si>
  <si>
    <t>1328</t>
  </si>
  <si>
    <t>d11</t>
  </si>
  <si>
    <t>4867</t>
  </si>
  <si>
    <t>d12</t>
  </si>
  <si>
    <t>6115</t>
  </si>
  <si>
    <t>d19</t>
  </si>
  <si>
    <t>8796</t>
  </si>
  <si>
    <t>d10</t>
  </si>
  <si>
    <t>9303</t>
  </si>
  <si>
    <t>d13</t>
  </si>
  <si>
    <t>4061</t>
  </si>
  <si>
    <t>d66</t>
  </si>
  <si>
    <t>4573</t>
  </si>
  <si>
    <t>d24</t>
  </si>
  <si>
    <t>9098</t>
  </si>
  <si>
    <t>d44</t>
  </si>
  <si>
    <t>8814</t>
  </si>
  <si>
    <t>d65</t>
  </si>
  <si>
    <t>3749</t>
  </si>
  <si>
    <t>d6</t>
  </si>
  <si>
    <t>3361</t>
  </si>
  <si>
    <t>d25</t>
  </si>
  <si>
    <t>6130</t>
  </si>
  <si>
    <t>d26</t>
  </si>
  <si>
    <t>9142</t>
  </si>
  <si>
    <t>d15</t>
  </si>
  <si>
    <t>8242</t>
  </si>
  <si>
    <t>d22</t>
  </si>
  <si>
    <t>3580</t>
  </si>
  <si>
    <t>d5</t>
  </si>
  <si>
    <t>0816</t>
  </si>
  <si>
    <t>d49</t>
  </si>
  <si>
    <t>9811</t>
  </si>
  <si>
    <t>OxA</t>
  </si>
  <si>
    <t>DMSO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</si>
</sst>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49" fontId="2" fillId="0" borderId="0" xfId="0" applyNumberFormat="1" applyFont="1"/>
    <xf numFmtId="0" fontId="2" fillId="0" borderId="0" xfId="0" applyFont="1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3" borderId="0" xfId="0" applyFont="1" applyFill="1"/>
    <xf numFmtId="0" fontId="1" fillId="3" borderId="0" xfId="0" applyFont="1" applyFill="1" applyAlignment="1">
      <alignment horizontal="right"/>
    </xf>
    <xf numFmtId="49" fontId="2" fillId="3" borderId="0" xfId="0" applyNumberFormat="1" applyFont="1" applyFill="1"/>
    <xf numFmtId="0" fontId="2" fillId="3" borderId="0" xfId="0" applyFont="1" applyFill="1"/>
    <xf numFmtId="0" fontId="1" fillId="3" borderId="1" xfId="0" applyFont="1" applyFill="1" applyBorder="1" applyAlignment="1">
      <alignment horizontal="right"/>
    </xf>
    <xf numFmtId="0" fontId="3" fillId="0" borderId="3" xfId="0" applyFont="1" applyBorder="1" applyAlignment="1">
      <alignment horizontal="right" wrapText="1"/>
    </xf>
    <xf numFmtId="0" fontId="3" fillId="0" borderId="0" xfId="0" applyFont="1"/>
    <xf numFmtId="0" fontId="3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88"/>
  <sheetViews>
    <sheetView tabSelected="1" topLeftCell="J41" workbookViewId="0">
      <selection activeCell="O60" sqref="O60"/>
    </sheetView>
  </sheetViews>
  <sheetFormatPr defaultColWidth="12.5703125" defaultRowHeight="15.75" customHeight="1" x14ac:dyDescent="0.2"/>
  <cols>
    <col min="1" max="8" width="12.5703125" hidden="1"/>
  </cols>
  <sheetData>
    <row r="1" spans="1:17" x14ac:dyDescent="0.2">
      <c r="A1" s="1"/>
      <c r="C1" s="2"/>
      <c r="D1" s="2"/>
      <c r="E1" s="2"/>
      <c r="F1" s="2"/>
      <c r="G1" s="3"/>
      <c r="H1" s="4"/>
      <c r="I1" s="1" t="s">
        <v>0</v>
      </c>
      <c r="J1" s="4" t="s">
        <v>1</v>
      </c>
      <c r="K1" s="5" t="s">
        <v>2</v>
      </c>
      <c r="L1" s="5" t="s">
        <v>3</v>
      </c>
      <c r="M1" s="5" t="s">
        <v>4</v>
      </c>
      <c r="N1" s="5" t="s">
        <v>5</v>
      </c>
      <c r="O1" s="5" t="s">
        <v>6</v>
      </c>
      <c r="P1" s="3" t="s">
        <v>7</v>
      </c>
      <c r="Q1" s="5" t="s">
        <v>8</v>
      </c>
    </row>
    <row r="2" spans="1:17" x14ac:dyDescent="0.2">
      <c r="A2" s="1" t="s">
        <v>9</v>
      </c>
      <c r="C2" s="6">
        <v>8.4704244237017168E-3</v>
      </c>
      <c r="D2" s="2">
        <v>6.1923057088339957E-2</v>
      </c>
      <c r="E2" s="6">
        <v>3.4732607910886497E-2</v>
      </c>
      <c r="F2" s="2">
        <v>3.5042029807642719E-2</v>
      </c>
      <c r="G2" s="3">
        <v>1.5048738202846709E-2</v>
      </c>
      <c r="H2" s="4" t="s">
        <v>10</v>
      </c>
      <c r="I2" s="1" t="s">
        <v>9</v>
      </c>
      <c r="J2" s="4" t="s">
        <v>10</v>
      </c>
      <c r="L2" s="5">
        <f t="shared" ref="L2:O2" si="0">C2*100</f>
        <v>0.84704244237017168</v>
      </c>
      <c r="M2" s="5">
        <f t="shared" si="0"/>
        <v>6.1923057088339961</v>
      </c>
      <c r="N2" s="5">
        <f t="shared" si="0"/>
        <v>3.4732607910886495</v>
      </c>
      <c r="O2" s="5">
        <f t="shared" si="0"/>
        <v>3.5042029807642718</v>
      </c>
      <c r="P2" s="3">
        <v>1.5048738202846709E-2</v>
      </c>
      <c r="Q2" s="5">
        <v>4</v>
      </c>
    </row>
    <row r="3" spans="1:17" x14ac:dyDescent="0.2">
      <c r="A3" s="1" t="s">
        <v>11</v>
      </c>
      <c r="C3" s="2">
        <v>0.89834339588971834</v>
      </c>
      <c r="D3" s="2">
        <v>1.1611991791333314</v>
      </c>
      <c r="E3" s="2">
        <v>0.87808940308717243</v>
      </c>
      <c r="F3" s="2">
        <v>0.97921065937007401</v>
      </c>
      <c r="G3" s="3">
        <v>0.42107876655341425</v>
      </c>
      <c r="H3" s="4" t="s">
        <v>12</v>
      </c>
      <c r="I3" s="1" t="s">
        <v>11</v>
      </c>
      <c r="J3" s="4" t="s">
        <v>12</v>
      </c>
      <c r="L3" s="5">
        <v>2.1311433139085145</v>
      </c>
      <c r="M3" s="5">
        <v>2.9781857562786862</v>
      </c>
      <c r="N3" s="5">
        <v>5.4071476458150691</v>
      </c>
      <c r="O3" s="5">
        <v>3.5054922386674239</v>
      </c>
      <c r="P3" s="3">
        <v>1.5294885708713055E-2</v>
      </c>
      <c r="Q3" s="5">
        <v>4</v>
      </c>
    </row>
    <row r="4" spans="1:17" x14ac:dyDescent="0.2">
      <c r="A4" s="1" t="s">
        <v>13</v>
      </c>
      <c r="C4" s="6">
        <v>8.5091021607962454E-3</v>
      </c>
      <c r="D4" s="2">
        <v>5.8132638853076173E-2</v>
      </c>
      <c r="E4" s="6">
        <v>4.5407663348976328E-2</v>
      </c>
      <c r="F4" s="2">
        <v>3.7349801454282912E-2</v>
      </c>
      <c r="G4" s="3">
        <v>1.514730427431185E-2</v>
      </c>
      <c r="H4" s="4" t="s">
        <v>14</v>
      </c>
      <c r="I4" s="1" t="s">
        <v>13</v>
      </c>
      <c r="J4" s="4" t="s">
        <v>14</v>
      </c>
      <c r="L4" s="5">
        <f t="shared" ref="L4:O4" si="1">C4*100</f>
        <v>0.85091021607962458</v>
      </c>
      <c r="M4" s="5">
        <f t="shared" si="1"/>
        <v>5.8132638853076175</v>
      </c>
      <c r="N4" s="5">
        <f t="shared" si="1"/>
        <v>4.5407663348976328</v>
      </c>
      <c r="O4" s="5">
        <f t="shared" si="1"/>
        <v>3.7349801454282914</v>
      </c>
      <c r="P4" s="3">
        <v>1.514730427431185E-2</v>
      </c>
      <c r="Q4" s="5">
        <v>4</v>
      </c>
    </row>
    <row r="5" spans="1:17" x14ac:dyDescent="0.2">
      <c r="A5" s="1" t="s">
        <v>15</v>
      </c>
      <c r="C5" s="2">
        <v>6.695116291062865E-2</v>
      </c>
      <c r="D5" s="2">
        <v>5.2408333763085971E-2</v>
      </c>
      <c r="E5" s="2">
        <v>2.6068794801712137E-2</v>
      </c>
      <c r="F5" s="2">
        <v>4.8476097158475583E-2</v>
      </c>
      <c r="G5" s="3">
        <v>1.5628549101484632E-2</v>
      </c>
      <c r="H5" s="4" t="s">
        <v>16</v>
      </c>
      <c r="I5" s="1" t="s">
        <v>15</v>
      </c>
      <c r="J5" s="4" t="s">
        <v>16</v>
      </c>
      <c r="L5" s="5">
        <f t="shared" ref="L5:O5" si="2">C5*100</f>
        <v>6.695116291062865</v>
      </c>
      <c r="M5" s="5">
        <f t="shared" si="2"/>
        <v>5.240833376308597</v>
      </c>
      <c r="N5" s="5">
        <f t="shared" si="2"/>
        <v>2.6068794801712136</v>
      </c>
      <c r="O5" s="5">
        <f t="shared" si="2"/>
        <v>4.8476097158475584</v>
      </c>
      <c r="P5" s="3">
        <v>1.5628549101484632E-2</v>
      </c>
      <c r="Q5" s="5">
        <v>4</v>
      </c>
    </row>
    <row r="6" spans="1:17" x14ac:dyDescent="0.2">
      <c r="A6" s="1" t="s">
        <v>17</v>
      </c>
      <c r="C6" s="7">
        <v>4.2236088907225001E-2</v>
      </c>
      <c r="D6" s="6">
        <v>6.2541900881852408E-2</v>
      </c>
      <c r="E6" s="7">
        <v>6.5984219483265438E-2</v>
      </c>
      <c r="F6" s="2">
        <v>5.6920736424114278E-2</v>
      </c>
      <c r="G6" s="3">
        <v>1.6056726718572192E-2</v>
      </c>
      <c r="H6" s="4" t="s">
        <v>18</v>
      </c>
      <c r="I6" s="1" t="s">
        <v>17</v>
      </c>
      <c r="J6" s="4" t="s">
        <v>18</v>
      </c>
      <c r="L6" s="5">
        <f t="shared" ref="L6:O6" si="3">C6*100</f>
        <v>4.2236088907224998</v>
      </c>
      <c r="M6" s="5">
        <f t="shared" si="3"/>
        <v>6.2541900881852408</v>
      </c>
      <c r="N6" s="5">
        <f t="shared" si="3"/>
        <v>6.5984219483265436</v>
      </c>
      <c r="O6" s="5">
        <f t="shared" si="3"/>
        <v>5.6920736424114278</v>
      </c>
      <c r="P6" s="3">
        <v>1.6056726718572192E-2</v>
      </c>
      <c r="Q6" s="5">
        <v>4</v>
      </c>
    </row>
    <row r="7" spans="1:17" x14ac:dyDescent="0.2">
      <c r="A7" s="1" t="s">
        <v>19</v>
      </c>
      <c r="C7" s="2">
        <v>2.3864163787324016E-2</v>
      </c>
      <c r="D7" s="2">
        <v>7.9830849363106596E-2</v>
      </c>
      <c r="E7" s="2">
        <v>8.354391212418133E-2</v>
      </c>
      <c r="F7" s="2">
        <v>6.2412975091537308E-2</v>
      </c>
      <c r="G7" s="3">
        <v>1.5676277574816568E-2</v>
      </c>
      <c r="H7" s="4" t="s">
        <v>20</v>
      </c>
      <c r="I7" s="1" t="s">
        <v>19</v>
      </c>
      <c r="J7" s="4" t="s">
        <v>20</v>
      </c>
      <c r="L7" s="5">
        <f t="shared" ref="L7:O7" si="4">C7*100</f>
        <v>2.3864163787324015</v>
      </c>
      <c r="M7" s="5">
        <f t="shared" si="4"/>
        <v>7.98308493631066</v>
      </c>
      <c r="N7" s="5">
        <f t="shared" si="4"/>
        <v>8.3543912124181325</v>
      </c>
      <c r="O7" s="5">
        <f t="shared" si="4"/>
        <v>6.241297509153731</v>
      </c>
      <c r="P7" s="3">
        <v>1.5676277574816568E-2</v>
      </c>
      <c r="Q7" s="5">
        <v>4</v>
      </c>
    </row>
    <row r="8" spans="1:17" x14ac:dyDescent="0.2">
      <c r="A8" s="1" t="s">
        <v>21</v>
      </c>
      <c r="C8" s="7">
        <v>4.217351217916307E-2</v>
      </c>
      <c r="D8" s="6">
        <v>0.16128840377122802</v>
      </c>
      <c r="E8" s="7">
        <v>0.20135026618683638</v>
      </c>
      <c r="F8" s="2">
        <v>0.13493739404574251</v>
      </c>
      <c r="G8" s="3">
        <v>6.3344844144849549E-4</v>
      </c>
      <c r="H8" s="4" t="s">
        <v>22</v>
      </c>
      <c r="I8" s="1" t="s">
        <v>21</v>
      </c>
      <c r="J8" s="4" t="s">
        <v>22</v>
      </c>
      <c r="L8" s="5">
        <f t="shared" ref="L8:O8" si="5">C8*100</f>
        <v>4.2173512179163071</v>
      </c>
      <c r="M8" s="5">
        <f t="shared" si="5"/>
        <v>16.128840377122803</v>
      </c>
      <c r="N8" s="5">
        <f t="shared" si="5"/>
        <v>20.135026618683639</v>
      </c>
      <c r="O8" s="5">
        <f t="shared" si="5"/>
        <v>13.493739404574251</v>
      </c>
      <c r="P8" s="3">
        <v>6.3344844144849549E-4</v>
      </c>
      <c r="Q8" s="5">
        <v>7</v>
      </c>
    </row>
    <row r="9" spans="1:17" x14ac:dyDescent="0.2">
      <c r="A9" s="1" t="s">
        <v>23</v>
      </c>
      <c r="C9" s="2">
        <v>5.0513124645454079E-2</v>
      </c>
      <c r="D9" s="2">
        <v>0.26370481151049457</v>
      </c>
      <c r="E9" s="2">
        <v>0.10330823577948534</v>
      </c>
      <c r="F9" s="2">
        <v>0.13917539064514467</v>
      </c>
      <c r="G9" s="3">
        <v>1.3490601707253962E-2</v>
      </c>
      <c r="H9" s="4" t="s">
        <v>24</v>
      </c>
      <c r="I9" s="1" t="s">
        <v>23</v>
      </c>
      <c r="J9" s="4" t="s">
        <v>24</v>
      </c>
      <c r="L9" s="5">
        <f t="shared" ref="L9:O9" si="6">C9*100</f>
        <v>5.0513124645454077</v>
      </c>
      <c r="M9" s="5">
        <f t="shared" si="6"/>
        <v>26.370481151049457</v>
      </c>
      <c r="N9" s="5">
        <f t="shared" si="6"/>
        <v>10.330823577948534</v>
      </c>
      <c r="O9" s="5">
        <f t="shared" si="6"/>
        <v>13.917539064514466</v>
      </c>
      <c r="P9" s="3">
        <v>1.3490601707253962E-2</v>
      </c>
      <c r="Q9" s="5">
        <v>4</v>
      </c>
    </row>
    <row r="10" spans="1:17" x14ac:dyDescent="0.2">
      <c r="A10" s="1" t="s">
        <v>25</v>
      </c>
      <c r="C10" s="7">
        <v>8.520705481924605E-2</v>
      </c>
      <c r="D10" s="6">
        <v>0.32644010107781962</v>
      </c>
      <c r="E10" s="7">
        <v>2.355474189056779E-2</v>
      </c>
      <c r="F10" s="2">
        <v>0.14506729926254447</v>
      </c>
      <c r="G10" s="3">
        <v>1.090291879780117E-2</v>
      </c>
      <c r="H10" s="4" t="s">
        <v>26</v>
      </c>
      <c r="I10" s="1" t="s">
        <v>25</v>
      </c>
      <c r="J10" s="4" t="s">
        <v>26</v>
      </c>
      <c r="L10" s="5">
        <f t="shared" ref="L10:O10" si="7">C10*100</f>
        <v>8.5207054819246046</v>
      </c>
      <c r="M10" s="5">
        <f t="shared" si="7"/>
        <v>32.644010107781959</v>
      </c>
      <c r="N10" s="5">
        <f t="shared" si="7"/>
        <v>2.3554741890567792</v>
      </c>
      <c r="O10" s="5">
        <f t="shared" si="7"/>
        <v>14.506729926254447</v>
      </c>
      <c r="P10" s="3">
        <v>1.090291879780117E-2</v>
      </c>
      <c r="Q10" s="5">
        <v>4</v>
      </c>
    </row>
    <row r="11" spans="1:17" x14ac:dyDescent="0.2">
      <c r="A11" s="1"/>
      <c r="C11" s="2"/>
      <c r="D11" s="2"/>
      <c r="E11" s="2"/>
      <c r="F11" s="2"/>
      <c r="G11" s="3"/>
      <c r="H11" s="4"/>
      <c r="I11" s="8" t="s">
        <v>27</v>
      </c>
      <c r="J11" s="8" t="s">
        <v>27</v>
      </c>
      <c r="K11" s="2"/>
      <c r="L11" s="2">
        <v>17.658085499999999</v>
      </c>
      <c r="M11" s="2">
        <v>13.346663299999999</v>
      </c>
      <c r="N11" s="2">
        <v>12.9905024</v>
      </c>
      <c r="P11" s="3"/>
    </row>
    <row r="12" spans="1:17" x14ac:dyDescent="0.2">
      <c r="A12" s="1"/>
      <c r="C12" s="2"/>
      <c r="D12" s="2"/>
      <c r="E12" s="2"/>
      <c r="F12" s="2"/>
      <c r="G12" s="3"/>
      <c r="H12" s="4"/>
      <c r="I12" s="8" t="s">
        <v>28</v>
      </c>
      <c r="J12" s="8" t="s">
        <v>28</v>
      </c>
      <c r="K12" s="2"/>
      <c r="L12" s="2">
        <v>14.2276931</v>
      </c>
      <c r="M12" s="2">
        <v>20.357410699999999</v>
      </c>
      <c r="N12" s="2">
        <v>12.746813299999999</v>
      </c>
      <c r="P12" s="3"/>
    </row>
    <row r="13" spans="1:17" x14ac:dyDescent="0.2">
      <c r="A13" s="1" t="s">
        <v>29</v>
      </c>
      <c r="C13" s="2">
        <v>0.26157753597029548</v>
      </c>
      <c r="D13" s="2">
        <v>0.24374709916971793</v>
      </c>
      <c r="E13" s="2">
        <v>1.3769274405652107E-2</v>
      </c>
      <c r="F13" s="2">
        <v>0.1730313031818885</v>
      </c>
      <c r="G13" s="3">
        <v>1.3025166798942079E-2</v>
      </c>
      <c r="H13" s="4" t="s">
        <v>30</v>
      </c>
      <c r="I13" s="1" t="s">
        <v>29</v>
      </c>
      <c r="J13" s="4" t="s">
        <v>30</v>
      </c>
      <c r="L13" s="5">
        <f t="shared" ref="L13:O13" si="8">C13*100</f>
        <v>26.157753597029547</v>
      </c>
      <c r="M13" s="5">
        <f t="shared" si="8"/>
        <v>24.374709916971792</v>
      </c>
      <c r="N13" s="5">
        <f t="shared" si="8"/>
        <v>1.3769274405652108</v>
      </c>
      <c r="O13" s="5">
        <f t="shared" si="8"/>
        <v>17.303130318188849</v>
      </c>
      <c r="P13" s="3">
        <v>1.3025166798942079E-2</v>
      </c>
      <c r="Q13" s="5">
        <v>4</v>
      </c>
    </row>
    <row r="14" spans="1:17" x14ac:dyDescent="0.2">
      <c r="A14" s="1" t="s">
        <v>31</v>
      </c>
      <c r="C14" s="7">
        <v>0.27871177350317161</v>
      </c>
      <c r="D14" s="2">
        <v>0.23117683461399618</v>
      </c>
      <c r="E14" s="7">
        <v>9.9015006961992672E-3</v>
      </c>
      <c r="F14" s="2">
        <v>0.17326336960445568</v>
      </c>
      <c r="G14" s="3">
        <v>1.2739573403717768E-2</v>
      </c>
      <c r="H14" s="4" t="s">
        <v>32</v>
      </c>
      <c r="I14" s="1" t="s">
        <v>31</v>
      </c>
      <c r="J14" s="4" t="s">
        <v>32</v>
      </c>
      <c r="L14" s="5">
        <f t="shared" ref="L14:O14" si="9">C14*100</f>
        <v>27.871177350317161</v>
      </c>
      <c r="M14" s="5">
        <f t="shared" si="9"/>
        <v>23.117683461399618</v>
      </c>
      <c r="N14" s="5">
        <f t="shared" si="9"/>
        <v>0.99015006961992669</v>
      </c>
      <c r="O14" s="5">
        <f t="shared" si="9"/>
        <v>17.32633696044557</v>
      </c>
      <c r="P14" s="3">
        <v>1.2739573403717768E-2</v>
      </c>
      <c r="Q14" s="5">
        <v>4</v>
      </c>
    </row>
    <row r="15" spans="1:17" x14ac:dyDescent="0.2">
      <c r="A15" s="1" t="s">
        <v>33</v>
      </c>
      <c r="B15" s="2">
        <v>0.22522606506945092</v>
      </c>
      <c r="C15" s="6">
        <v>0.20210683322457351</v>
      </c>
      <c r="D15" s="2">
        <v>3.244150275006992E-2</v>
      </c>
      <c r="E15" s="6">
        <v>0.24312482520742051</v>
      </c>
      <c r="F15" s="2">
        <v>0.17572480656287873</v>
      </c>
      <c r="G15" s="3">
        <v>1.4055389251916423E-2</v>
      </c>
      <c r="H15" s="4" t="s">
        <v>34</v>
      </c>
      <c r="I15" s="1" t="s">
        <v>33</v>
      </c>
      <c r="J15" s="4" t="s">
        <v>34</v>
      </c>
      <c r="K15" s="5">
        <f t="shared" ref="K15:O15" si="10">B15*100</f>
        <v>22.522606506945092</v>
      </c>
      <c r="L15" s="5">
        <f t="shared" si="10"/>
        <v>20.210683322457353</v>
      </c>
      <c r="M15" s="5">
        <f t="shared" si="10"/>
        <v>3.2441502750069922</v>
      </c>
      <c r="N15" s="5">
        <f t="shared" si="10"/>
        <v>24.312482520742051</v>
      </c>
      <c r="O15" s="5">
        <f t="shared" si="10"/>
        <v>17.572480656287873</v>
      </c>
      <c r="P15" s="3">
        <v>1.4055389251916423E-2</v>
      </c>
      <c r="Q15" s="5">
        <v>7</v>
      </c>
    </row>
    <row r="16" spans="1:17" x14ac:dyDescent="0.2">
      <c r="A16" s="1" t="s">
        <v>35</v>
      </c>
      <c r="C16" s="6">
        <v>0.18286834098293023</v>
      </c>
      <c r="D16" s="2">
        <v>0.20545613944613481</v>
      </c>
      <c r="E16" s="6">
        <v>0.13947191996286937</v>
      </c>
      <c r="F16" s="2">
        <v>0.17593213346397812</v>
      </c>
      <c r="G16" s="3">
        <v>2.0112831781392147E-2</v>
      </c>
      <c r="H16" s="4" t="s">
        <v>36</v>
      </c>
      <c r="I16" s="1" t="s">
        <v>35</v>
      </c>
      <c r="J16" s="4" t="s">
        <v>36</v>
      </c>
      <c r="L16" s="5">
        <f t="shared" ref="L16:O16" si="11">C16*100</f>
        <v>18.286834098293024</v>
      </c>
      <c r="M16" s="5">
        <f t="shared" si="11"/>
        <v>20.545613944613482</v>
      </c>
      <c r="N16" s="5">
        <f t="shared" si="11"/>
        <v>13.947191996286938</v>
      </c>
      <c r="O16" s="5">
        <f t="shared" si="11"/>
        <v>17.593213346397814</v>
      </c>
      <c r="P16" s="3">
        <v>2.0112831781392147E-2</v>
      </c>
      <c r="Q16" s="5">
        <v>4</v>
      </c>
    </row>
    <row r="17" spans="1:17" x14ac:dyDescent="0.2">
      <c r="A17" s="1"/>
      <c r="C17" s="2"/>
      <c r="D17" s="2"/>
      <c r="E17" s="2"/>
      <c r="F17" s="2"/>
      <c r="G17" s="3"/>
      <c r="H17" s="4"/>
      <c r="I17" s="8" t="s">
        <v>37</v>
      </c>
      <c r="J17" s="8" t="s">
        <v>37</v>
      </c>
      <c r="K17" s="2"/>
      <c r="L17" s="2">
        <v>21.182204500000001</v>
      </c>
      <c r="M17" s="2">
        <v>20.019995000000002</v>
      </c>
      <c r="N17" s="2">
        <v>16.758310399999999</v>
      </c>
      <c r="P17" s="3"/>
    </row>
    <row r="18" spans="1:17" x14ac:dyDescent="0.2">
      <c r="A18" s="1" t="s">
        <v>38</v>
      </c>
      <c r="B18" s="2">
        <v>0.23007364594015103</v>
      </c>
      <c r="C18" s="2">
        <v>0.24797240607812063</v>
      </c>
      <c r="D18" s="2">
        <v>4.5492682017339421E-2</v>
      </c>
      <c r="E18" s="2">
        <v>0.26027780367297476</v>
      </c>
      <c r="F18" s="2">
        <v>0.19595413442714646</v>
      </c>
      <c r="G18" s="3">
        <v>1.4947036775603219E-2</v>
      </c>
      <c r="H18" s="4" t="s">
        <v>39</v>
      </c>
      <c r="I18" s="1" t="s">
        <v>38</v>
      </c>
      <c r="J18" s="4" t="s">
        <v>39</v>
      </c>
      <c r="K18" s="5">
        <f t="shared" ref="K18:O18" si="12">B18*100</f>
        <v>23.007364594015105</v>
      </c>
      <c r="L18" s="5">
        <f t="shared" si="12"/>
        <v>24.797240607812064</v>
      </c>
      <c r="M18" s="5">
        <f t="shared" si="12"/>
        <v>4.5492682017339421</v>
      </c>
      <c r="N18" s="5">
        <f t="shared" si="12"/>
        <v>26.027780367297478</v>
      </c>
      <c r="O18" s="5">
        <f t="shared" si="12"/>
        <v>19.595413442714644</v>
      </c>
      <c r="P18" s="3">
        <v>1.4947036775603219E-2</v>
      </c>
      <c r="Q18" s="5">
        <v>7</v>
      </c>
    </row>
    <row r="19" spans="1:17" x14ac:dyDescent="0.2">
      <c r="A19" s="1" t="s">
        <v>40</v>
      </c>
      <c r="B19" s="2">
        <v>0.14319008110375689</v>
      </c>
      <c r="C19" s="6">
        <v>0.24275193437121284</v>
      </c>
      <c r="D19" s="7">
        <v>0.36767036450079238</v>
      </c>
      <c r="E19" s="6">
        <v>4.1763773655262425E-2</v>
      </c>
      <c r="F19" s="2">
        <v>0.19884403840775614</v>
      </c>
      <c r="G19" s="3">
        <v>1.4019444521078178E-2</v>
      </c>
      <c r="H19" s="4" t="s">
        <v>41</v>
      </c>
      <c r="I19" s="1" t="s">
        <v>40</v>
      </c>
      <c r="J19" s="4" t="s">
        <v>41</v>
      </c>
      <c r="K19" s="5">
        <f t="shared" ref="K19:O19" si="13">B19*100</f>
        <v>14.319008110375689</v>
      </c>
      <c r="L19" s="5">
        <f t="shared" si="13"/>
        <v>24.275193437121285</v>
      </c>
      <c r="M19" s="5">
        <f t="shared" si="13"/>
        <v>36.767036450079239</v>
      </c>
      <c r="N19" s="5">
        <f t="shared" si="13"/>
        <v>4.1763773655262426</v>
      </c>
      <c r="O19" s="5">
        <f t="shared" si="13"/>
        <v>19.884403840775615</v>
      </c>
      <c r="P19" s="3">
        <v>1.4019444521078178E-2</v>
      </c>
      <c r="Q19" s="5">
        <v>7</v>
      </c>
    </row>
    <row r="20" spans="1:17" x14ac:dyDescent="0.2">
      <c r="A20" s="1" t="s">
        <v>42</v>
      </c>
      <c r="C20" s="2">
        <v>0.31638388943324225</v>
      </c>
      <c r="D20" s="2">
        <v>0.18194007529266154</v>
      </c>
      <c r="E20" s="2">
        <v>0.15432417100716828</v>
      </c>
      <c r="F20" s="2">
        <v>0.21754937857769069</v>
      </c>
      <c r="G20" s="3">
        <v>1.8697979303537709E-2</v>
      </c>
      <c r="H20" s="4" t="s">
        <v>43</v>
      </c>
      <c r="I20" s="1" t="s">
        <v>42</v>
      </c>
      <c r="J20" s="4" t="s">
        <v>43</v>
      </c>
      <c r="L20" s="5">
        <f t="shared" ref="L20:O20" si="14">C20*100</f>
        <v>31.638388943324223</v>
      </c>
      <c r="M20" s="5">
        <f t="shared" si="14"/>
        <v>18.194007529266155</v>
      </c>
      <c r="N20" s="5">
        <f t="shared" si="14"/>
        <v>15.432417100716828</v>
      </c>
      <c r="O20" s="5">
        <f t="shared" si="14"/>
        <v>21.754937857769068</v>
      </c>
      <c r="P20" s="3">
        <v>1.8697979303537709E-2</v>
      </c>
      <c r="Q20" s="5">
        <v>4</v>
      </c>
    </row>
    <row r="21" spans="1:17" x14ac:dyDescent="0.2">
      <c r="A21" s="1" t="s">
        <v>44</v>
      </c>
      <c r="C21" s="6">
        <v>0.29012170594605746</v>
      </c>
      <c r="D21" s="7">
        <v>0.24053684699087205</v>
      </c>
      <c r="E21" s="6">
        <v>0.18155329792171626</v>
      </c>
      <c r="F21" s="2">
        <v>0.23740395028621528</v>
      </c>
      <c r="G21" s="3">
        <v>2.2157157655176261E-2</v>
      </c>
      <c r="H21" s="4" t="s">
        <v>45</v>
      </c>
      <c r="I21" s="1" t="s">
        <v>44</v>
      </c>
      <c r="J21" s="4" t="s">
        <v>45</v>
      </c>
      <c r="L21" s="5">
        <f t="shared" ref="L21:O21" si="15">C21*100</f>
        <v>29.012170594605745</v>
      </c>
      <c r="M21" s="5">
        <f t="shared" si="15"/>
        <v>24.053684699087206</v>
      </c>
      <c r="N21" s="5">
        <f t="shared" si="15"/>
        <v>18.155329792171628</v>
      </c>
      <c r="O21" s="5">
        <f t="shared" si="15"/>
        <v>23.740395028621528</v>
      </c>
      <c r="P21" s="3">
        <v>2.2157157655176261E-2</v>
      </c>
      <c r="Q21" s="5">
        <v>4</v>
      </c>
    </row>
    <row r="22" spans="1:17" x14ac:dyDescent="0.2">
      <c r="A22" s="1" t="s">
        <v>46</v>
      </c>
      <c r="C22" s="2">
        <v>0.15768913413439226</v>
      </c>
      <c r="D22" s="2">
        <v>0.27221391367129083</v>
      </c>
      <c r="E22" s="2">
        <v>0.28397194574802742</v>
      </c>
      <c r="F22" s="2">
        <v>0.23795833118457019</v>
      </c>
      <c r="G22" s="3">
        <v>2.1098613963317327E-2</v>
      </c>
      <c r="H22" s="4" t="s">
        <v>47</v>
      </c>
      <c r="I22" s="1" t="s">
        <v>46</v>
      </c>
      <c r="J22" s="4" t="s">
        <v>47</v>
      </c>
      <c r="L22" s="5">
        <f t="shared" ref="L22:O22" si="16">C22*100</f>
        <v>15.768913413439225</v>
      </c>
      <c r="M22" s="5">
        <f t="shared" si="16"/>
        <v>27.221391367129083</v>
      </c>
      <c r="N22" s="5">
        <f t="shared" si="16"/>
        <v>28.397194574802743</v>
      </c>
      <c r="O22" s="5">
        <f t="shared" si="16"/>
        <v>23.795833118457018</v>
      </c>
      <c r="P22" s="3">
        <v>2.1098613963317327E-2</v>
      </c>
      <c r="Q22" s="5">
        <v>4</v>
      </c>
    </row>
    <row r="23" spans="1:17" x14ac:dyDescent="0.2">
      <c r="A23" s="1" t="s">
        <v>48</v>
      </c>
      <c r="C23" s="6">
        <v>0.1249290908153267</v>
      </c>
      <c r="D23" s="7">
        <v>0.3778041359393533</v>
      </c>
      <c r="E23" s="6">
        <v>0.21736888247124955</v>
      </c>
      <c r="F23" s="2">
        <v>0.24003403640864318</v>
      </c>
      <c r="G23" s="3">
        <v>1.6741964087471681E-2</v>
      </c>
      <c r="H23" s="4" t="s">
        <v>49</v>
      </c>
      <c r="I23" s="1" t="s">
        <v>48</v>
      </c>
      <c r="J23" s="4" t="s">
        <v>49</v>
      </c>
      <c r="L23" s="5">
        <f t="shared" ref="L23:O23" si="17">C23*100</f>
        <v>12.49290908153267</v>
      </c>
      <c r="M23" s="5">
        <f t="shared" si="17"/>
        <v>37.780413593935329</v>
      </c>
      <c r="N23" s="5">
        <f t="shared" si="17"/>
        <v>21.736888247124956</v>
      </c>
      <c r="O23" s="5">
        <f t="shared" si="17"/>
        <v>24.003403640864317</v>
      </c>
      <c r="P23" s="3">
        <v>1.6741964087471681E-2</v>
      </c>
      <c r="Q23" s="5">
        <v>4</v>
      </c>
    </row>
    <row r="24" spans="1:17" x14ac:dyDescent="0.2">
      <c r="A24" s="1" t="s">
        <v>50</v>
      </c>
      <c r="C24" s="2">
        <v>0.31661595585580943</v>
      </c>
      <c r="D24" s="2">
        <v>0.16128616368418339</v>
      </c>
      <c r="E24" s="2">
        <v>0.2435923882213398</v>
      </c>
      <c r="F24" s="2">
        <v>0.24049816925377754</v>
      </c>
      <c r="G24" s="3">
        <v>2.0630895713943193E-2</v>
      </c>
      <c r="H24" s="4" t="s">
        <v>51</v>
      </c>
      <c r="I24" s="1" t="s">
        <v>50</v>
      </c>
      <c r="J24" s="4" t="s">
        <v>51</v>
      </c>
      <c r="L24" s="5">
        <f t="shared" ref="L24:O24" si="18">C24*100</f>
        <v>31.661595585580944</v>
      </c>
      <c r="M24" s="5">
        <f t="shared" si="18"/>
        <v>16.128616368418339</v>
      </c>
      <c r="N24" s="5">
        <f t="shared" si="18"/>
        <v>24.359238822133982</v>
      </c>
      <c r="O24" s="5">
        <f t="shared" si="18"/>
        <v>24.049816925377755</v>
      </c>
      <c r="P24" s="3">
        <v>2.0630895713943193E-2</v>
      </c>
      <c r="Q24" s="5">
        <v>4</v>
      </c>
    </row>
    <row r="25" spans="1:17" x14ac:dyDescent="0.2">
      <c r="A25" s="1" t="s">
        <v>52</v>
      </c>
      <c r="C25" s="6">
        <v>0.41137641173740397</v>
      </c>
      <c r="D25" s="7">
        <v>0.32013562993141148</v>
      </c>
      <c r="E25" s="6">
        <v>1.1448610179980404E-2</v>
      </c>
      <c r="F25" s="2">
        <v>0.24765355061626529</v>
      </c>
      <c r="G25" s="3">
        <v>1.4320912962714864E-2</v>
      </c>
      <c r="H25" s="4" t="s">
        <v>53</v>
      </c>
      <c r="I25" s="1" t="s">
        <v>52</v>
      </c>
      <c r="J25" s="4" t="s">
        <v>53</v>
      </c>
      <c r="L25" s="5">
        <f t="shared" ref="L25:O25" si="19">C25*100</f>
        <v>41.137641173740398</v>
      </c>
      <c r="M25" s="5">
        <f t="shared" si="19"/>
        <v>32.01356299314115</v>
      </c>
      <c r="N25" s="5">
        <f t="shared" si="19"/>
        <v>1.1448610179980403</v>
      </c>
      <c r="O25" s="5">
        <f t="shared" si="19"/>
        <v>24.765355061626529</v>
      </c>
      <c r="P25" s="3">
        <v>1.4320912962714864E-2</v>
      </c>
      <c r="Q25" s="5">
        <v>4</v>
      </c>
    </row>
    <row r="26" spans="1:17" x14ac:dyDescent="0.2">
      <c r="A26" s="1" t="s">
        <v>54</v>
      </c>
      <c r="C26" s="2">
        <v>0.32141199525553094</v>
      </c>
      <c r="D26" s="2">
        <v>0.26645093084420607</v>
      </c>
      <c r="E26" s="2">
        <v>0.16132484142127793</v>
      </c>
      <c r="F26" s="2">
        <v>0.24972925584033831</v>
      </c>
      <c r="G26" s="3">
        <v>2.0870699209598147E-2</v>
      </c>
      <c r="H26" s="4" t="s">
        <v>55</v>
      </c>
      <c r="I26" s="1" t="s">
        <v>54</v>
      </c>
      <c r="J26" s="4" t="s">
        <v>55</v>
      </c>
      <c r="L26" s="5">
        <f t="shared" ref="L26:O26" si="20">C26*100</f>
        <v>32.141199525553091</v>
      </c>
      <c r="M26" s="5">
        <f t="shared" si="20"/>
        <v>26.645093084420608</v>
      </c>
      <c r="N26" s="5">
        <f t="shared" si="20"/>
        <v>16.132484142127794</v>
      </c>
      <c r="O26" s="5">
        <f t="shared" si="20"/>
        <v>24.972925584033831</v>
      </c>
      <c r="P26" s="3">
        <v>2.0870699209598147E-2</v>
      </c>
      <c r="Q26" s="5">
        <v>4</v>
      </c>
    </row>
    <row r="27" spans="1:17" x14ac:dyDescent="0.2">
      <c r="A27" s="1" t="s">
        <v>56</v>
      </c>
      <c r="C27" s="2">
        <v>0.34620442473312363</v>
      </c>
      <c r="D27" s="7">
        <v>0.31019545149811767</v>
      </c>
      <c r="E27" s="2">
        <v>0.10245732556340571</v>
      </c>
      <c r="F27" s="2">
        <v>0.25295240059821567</v>
      </c>
      <c r="G27" s="3">
        <v>1.7197516127414898E-2</v>
      </c>
      <c r="H27" s="4" t="s">
        <v>57</v>
      </c>
      <c r="I27" s="1" t="s">
        <v>56</v>
      </c>
      <c r="J27" s="4" t="s">
        <v>57</v>
      </c>
      <c r="L27" s="5">
        <f t="shared" ref="L27:O27" si="21">C27*100</f>
        <v>34.620442473312366</v>
      </c>
      <c r="M27" s="5">
        <f t="shared" si="21"/>
        <v>31.019545149811766</v>
      </c>
      <c r="N27" s="5">
        <f t="shared" si="21"/>
        <v>10.245732556340572</v>
      </c>
      <c r="O27" s="5">
        <f t="shared" si="21"/>
        <v>25.295240059821566</v>
      </c>
      <c r="P27" s="3">
        <v>1.7197516127414898E-2</v>
      </c>
      <c r="Q27" s="5">
        <v>4</v>
      </c>
    </row>
    <row r="28" spans="1:17" x14ac:dyDescent="0.2">
      <c r="A28" s="1" t="s">
        <v>58</v>
      </c>
      <c r="C28" s="2">
        <v>0.51060286113672193</v>
      </c>
      <c r="D28" s="2">
        <v>0.84617672426612733</v>
      </c>
      <c r="E28" s="2">
        <v>1.3376855128929601</v>
      </c>
      <c r="F28" s="2">
        <v>0.89815503276526987</v>
      </c>
      <c r="G28" s="3">
        <v>0.35652880806006948</v>
      </c>
      <c r="H28" s="4" t="s">
        <v>59</v>
      </c>
      <c r="I28" s="1" t="s">
        <v>58</v>
      </c>
      <c r="J28" s="4" t="s">
        <v>59</v>
      </c>
      <c r="L28" s="5">
        <v>7.9173327832499609</v>
      </c>
      <c r="M28" s="5">
        <v>33.591614666597906</v>
      </c>
      <c r="N28" s="5">
        <v>42.47975865092053</v>
      </c>
      <c r="O28" s="5">
        <v>27.9962353669228</v>
      </c>
      <c r="P28" s="3">
        <v>1.6519807599662303E-2</v>
      </c>
      <c r="Q28" s="5">
        <v>4</v>
      </c>
    </row>
    <row r="29" spans="1:17" x14ac:dyDescent="0.2">
      <c r="A29" s="1" t="s">
        <v>60</v>
      </c>
      <c r="B29" s="2">
        <v>0.46201174606134054</v>
      </c>
      <c r="C29" s="2">
        <v>0.57387899692365063</v>
      </c>
      <c r="D29" s="6">
        <v>8.0917311457070942E-2</v>
      </c>
      <c r="E29" s="2">
        <v>1.9390323482800412E-2</v>
      </c>
      <c r="F29" s="2">
        <v>0.28404959448121564</v>
      </c>
      <c r="G29" s="3">
        <v>1.8389104539818041E-2</v>
      </c>
      <c r="H29" s="4" t="s">
        <v>61</v>
      </c>
      <c r="I29" s="1" t="s">
        <v>60</v>
      </c>
      <c r="J29" s="4" t="s">
        <v>61</v>
      </c>
      <c r="K29" s="5">
        <f t="shared" ref="K29:O29" si="22">B29*100</f>
        <v>46.201174606134053</v>
      </c>
      <c r="L29" s="5">
        <f t="shared" si="22"/>
        <v>57.38789969236506</v>
      </c>
      <c r="M29" s="5">
        <f t="shared" si="22"/>
        <v>8.0917311457070937</v>
      </c>
      <c r="N29" s="5">
        <f t="shared" si="22"/>
        <v>1.9390323482800411</v>
      </c>
      <c r="O29" s="5">
        <f t="shared" si="22"/>
        <v>28.404959448121563</v>
      </c>
      <c r="P29" s="3">
        <v>1.8389104539818041E-2</v>
      </c>
      <c r="Q29" s="5">
        <v>7</v>
      </c>
    </row>
    <row r="30" spans="1:17" x14ac:dyDescent="0.2">
      <c r="A30" s="1" t="s">
        <v>62</v>
      </c>
      <c r="C30" s="2">
        <v>0.41949873652725495</v>
      </c>
      <c r="D30" s="2">
        <v>0.33792738899489455</v>
      </c>
      <c r="E30" s="2">
        <v>0.17675725852199475</v>
      </c>
      <c r="F30" s="2">
        <v>0.3113944613480481</v>
      </c>
      <c r="G30" s="3">
        <v>2.1462628760560629E-2</v>
      </c>
      <c r="H30" s="4" t="s">
        <v>63</v>
      </c>
      <c r="I30" s="1" t="s">
        <v>62</v>
      </c>
      <c r="J30" s="4" t="s">
        <v>63</v>
      </c>
      <c r="L30" s="5">
        <f t="shared" ref="L30:O30" si="23">C30*100</f>
        <v>41.949873652725493</v>
      </c>
      <c r="M30" s="5">
        <f t="shared" si="23"/>
        <v>33.792738899489457</v>
      </c>
      <c r="N30" s="5">
        <f t="shared" si="23"/>
        <v>17.675725852199477</v>
      </c>
      <c r="O30" s="5">
        <f t="shared" si="23"/>
        <v>31.13944613480481</v>
      </c>
      <c r="P30" s="3">
        <v>2.1462628760560629E-2</v>
      </c>
      <c r="Q30" s="5">
        <v>4</v>
      </c>
    </row>
    <row r="31" spans="1:17" x14ac:dyDescent="0.2">
      <c r="A31" s="1" t="s">
        <v>64</v>
      </c>
      <c r="C31" s="7">
        <v>0.40012119024289622</v>
      </c>
      <c r="D31" s="6">
        <v>0.33297663864679494</v>
      </c>
      <c r="E31" s="7">
        <v>0.26064927028002682</v>
      </c>
      <c r="F31" s="2">
        <v>0.33124903305657261</v>
      </c>
      <c r="G31" s="3">
        <v>2.7420745425815626E-2</v>
      </c>
      <c r="H31" s="4" t="s">
        <v>65</v>
      </c>
      <c r="I31" s="1" t="s">
        <v>64</v>
      </c>
      <c r="J31" s="4" t="s">
        <v>65</v>
      </c>
      <c r="L31" s="5">
        <f t="shared" ref="L31:O31" si="24">C31*100</f>
        <v>40.012119024289625</v>
      </c>
      <c r="M31" s="5">
        <f t="shared" si="24"/>
        <v>33.297663864679492</v>
      </c>
      <c r="N31" s="5">
        <f t="shared" si="24"/>
        <v>26.064927028002682</v>
      </c>
      <c r="O31" s="5">
        <f t="shared" si="24"/>
        <v>33.124903305657263</v>
      </c>
      <c r="P31" s="3">
        <v>2.7420745425815626E-2</v>
      </c>
      <c r="Q31" s="5">
        <v>4</v>
      </c>
    </row>
    <row r="32" spans="1:17" x14ac:dyDescent="0.2">
      <c r="A32" s="1" t="s">
        <v>66</v>
      </c>
      <c r="B32" s="2">
        <v>0.25468444112985922</v>
      </c>
      <c r="C32" s="2">
        <v>0.28861750722475993</v>
      </c>
      <c r="D32" s="2">
        <v>0.42882446163885524</v>
      </c>
      <c r="E32" s="2">
        <v>0.37289083620770019</v>
      </c>
      <c r="F32" s="2">
        <v>0.33625431155029367</v>
      </c>
      <c r="G32" s="3">
        <v>2.5651513240633261E-2</v>
      </c>
      <c r="H32" s="4" t="s">
        <v>67</v>
      </c>
      <c r="I32" s="1" t="s">
        <v>66</v>
      </c>
      <c r="J32" s="4" t="s">
        <v>67</v>
      </c>
      <c r="K32" s="5">
        <f t="shared" ref="K32:O32" si="25">B32*100</f>
        <v>25.468444112985921</v>
      </c>
      <c r="L32" s="5">
        <f t="shared" si="25"/>
        <v>28.861750722475993</v>
      </c>
      <c r="M32" s="5">
        <f t="shared" si="25"/>
        <v>42.882446163885525</v>
      </c>
      <c r="N32" s="5">
        <f t="shared" si="25"/>
        <v>37.289083620770022</v>
      </c>
      <c r="O32" s="5">
        <f t="shared" si="25"/>
        <v>33.625431155029368</v>
      </c>
      <c r="P32" s="3">
        <v>2.5651513240633261E-2</v>
      </c>
      <c r="Q32" s="5">
        <v>7</v>
      </c>
    </row>
    <row r="33" spans="1:17" x14ac:dyDescent="0.2">
      <c r="A33" s="1" t="s">
        <v>68</v>
      </c>
      <c r="B33" s="2">
        <v>0.39041670550946211</v>
      </c>
      <c r="C33" s="7">
        <v>0.39004381467325439</v>
      </c>
      <c r="D33" s="6">
        <v>0.37214505453528479</v>
      </c>
      <c r="E33" s="7">
        <v>0.24797240607812063</v>
      </c>
      <c r="F33" s="2">
        <v>0.35014449519903046</v>
      </c>
      <c r="G33" s="3">
        <v>2.7323266832606788E-2</v>
      </c>
      <c r="H33" s="4" t="s">
        <v>69</v>
      </c>
      <c r="I33" s="1" t="s">
        <v>68</v>
      </c>
      <c r="J33" s="4" t="s">
        <v>69</v>
      </c>
      <c r="K33" s="5">
        <f t="shared" ref="K33:O33" si="26">B33*100</f>
        <v>39.041670550946215</v>
      </c>
      <c r="L33" s="5">
        <f t="shared" si="26"/>
        <v>39.004381467325437</v>
      </c>
      <c r="M33" s="5">
        <f t="shared" si="26"/>
        <v>37.214505453528481</v>
      </c>
      <c r="N33" s="5">
        <f t="shared" si="26"/>
        <v>24.797240607812064</v>
      </c>
      <c r="O33" s="5">
        <f t="shared" si="26"/>
        <v>35.014449519903046</v>
      </c>
      <c r="P33" s="3">
        <v>2.7323266832606788E-2</v>
      </c>
      <c r="Q33" s="5">
        <v>7</v>
      </c>
    </row>
    <row r="34" spans="1:17" x14ac:dyDescent="0.2">
      <c r="A34" s="1" t="s">
        <v>70</v>
      </c>
      <c r="C34" s="2">
        <v>0.4577510185137435</v>
      </c>
      <c r="D34" s="2">
        <v>0.35904543344850703</v>
      </c>
      <c r="E34" s="2">
        <v>0.30396833582589861</v>
      </c>
      <c r="F34" s="2">
        <v>0.37358826259604971</v>
      </c>
      <c r="G34" s="3">
        <v>3.0495496633143212E-2</v>
      </c>
      <c r="H34" s="4" t="s">
        <v>71</v>
      </c>
      <c r="I34" s="1" t="s">
        <v>70</v>
      </c>
      <c r="J34" s="4" t="s">
        <v>71</v>
      </c>
      <c r="L34" s="5">
        <f t="shared" ref="L34:O34" si="27">C34*100</f>
        <v>45.775101851374352</v>
      </c>
      <c r="M34" s="5">
        <f t="shared" si="27"/>
        <v>35.904543344850701</v>
      </c>
      <c r="N34" s="5">
        <f t="shared" si="27"/>
        <v>30.39683358258986</v>
      </c>
      <c r="O34" s="5">
        <f t="shared" si="27"/>
        <v>37.358826259604974</v>
      </c>
      <c r="P34" s="3">
        <v>3.0495496633143212E-2</v>
      </c>
      <c r="Q34" s="5">
        <v>4</v>
      </c>
    </row>
    <row r="35" spans="1:17" x14ac:dyDescent="0.2">
      <c r="A35" s="1" t="s">
        <v>72</v>
      </c>
      <c r="C35" s="7">
        <v>0.56620339332680114</v>
      </c>
      <c r="D35" s="6">
        <v>0.3261693569181579</v>
      </c>
      <c r="E35" s="7">
        <v>0.24312825537620547</v>
      </c>
      <c r="F35" s="2">
        <v>0.37850033520705484</v>
      </c>
      <c r="G35" s="3">
        <v>2.4660928075258697E-2</v>
      </c>
      <c r="H35" s="4" t="s">
        <v>73</v>
      </c>
      <c r="I35" s="1" t="s">
        <v>72</v>
      </c>
      <c r="J35" s="4" t="s">
        <v>73</v>
      </c>
      <c r="L35" s="5">
        <f t="shared" ref="L35:O35" si="28">C35*100</f>
        <v>56.620339332680118</v>
      </c>
      <c r="M35" s="5">
        <f t="shared" si="28"/>
        <v>32.61693569181579</v>
      </c>
      <c r="N35" s="5">
        <f t="shared" si="28"/>
        <v>24.312825537620547</v>
      </c>
      <c r="O35" s="5">
        <f t="shared" si="28"/>
        <v>37.85003352070548</v>
      </c>
      <c r="P35" s="3">
        <v>2.4660928075258697E-2</v>
      </c>
      <c r="Q35" s="5">
        <v>4</v>
      </c>
    </row>
    <row r="36" spans="1:17" x14ac:dyDescent="0.2">
      <c r="A36" s="1" t="s">
        <v>74</v>
      </c>
      <c r="C36" s="2">
        <v>0.48343303594451037</v>
      </c>
      <c r="D36" s="2">
        <v>0.42854932700737458</v>
      </c>
      <c r="E36" s="2">
        <v>0.23032592439791658</v>
      </c>
      <c r="F36" s="2">
        <v>0.3807694291166005</v>
      </c>
      <c r="G36" s="3">
        <v>2.6633876555375004E-2</v>
      </c>
      <c r="H36" s="4" t="s">
        <v>75</v>
      </c>
      <c r="I36" s="1" t="s">
        <v>74</v>
      </c>
      <c r="J36" s="4" t="s">
        <v>75</v>
      </c>
      <c r="L36" s="5">
        <f t="shared" ref="L36:O36" si="29">C36*100</f>
        <v>48.343303594451037</v>
      </c>
      <c r="M36" s="5">
        <f t="shared" si="29"/>
        <v>42.854932700737457</v>
      </c>
      <c r="N36" s="5">
        <f t="shared" si="29"/>
        <v>23.032592439791657</v>
      </c>
      <c r="O36" s="5">
        <f t="shared" si="29"/>
        <v>38.076942911660048</v>
      </c>
      <c r="P36" s="3">
        <v>2.6633876555375004E-2</v>
      </c>
      <c r="Q36" s="5">
        <v>4</v>
      </c>
    </row>
    <row r="37" spans="1:17" x14ac:dyDescent="0.2">
      <c r="A37" s="1" t="s">
        <v>76</v>
      </c>
      <c r="C37" s="2">
        <v>0.39745242638337375</v>
      </c>
      <c r="D37" s="2">
        <v>0.509540508483317</v>
      </c>
      <c r="E37" s="2">
        <v>0.3342143262338198</v>
      </c>
      <c r="F37" s="2">
        <v>0.41373575370017018</v>
      </c>
      <c r="G37" s="3">
        <v>3.3792915849940049E-2</v>
      </c>
      <c r="H37" s="4" t="s">
        <v>77</v>
      </c>
      <c r="I37" s="1" t="s">
        <v>76</v>
      </c>
      <c r="J37" s="4" t="s">
        <v>77</v>
      </c>
      <c r="L37" s="5">
        <f t="shared" ref="L37:O37" si="30">C37*100</f>
        <v>39.745242638337373</v>
      </c>
      <c r="M37" s="5">
        <f t="shared" si="30"/>
        <v>50.954050848331697</v>
      </c>
      <c r="N37" s="5">
        <f t="shared" si="30"/>
        <v>33.421432623381982</v>
      </c>
      <c r="O37" s="5">
        <f t="shared" si="30"/>
        <v>41.373575370017015</v>
      </c>
      <c r="P37" s="3">
        <v>3.3792915849940049E-2</v>
      </c>
      <c r="Q37" s="5">
        <v>4</v>
      </c>
    </row>
    <row r="38" spans="1:17" x14ac:dyDescent="0.2">
      <c r="A38" s="1" t="s">
        <v>78</v>
      </c>
      <c r="B38" s="2">
        <v>0.32068611913862216</v>
      </c>
      <c r="C38" s="7">
        <v>0.48699543208725643</v>
      </c>
      <c r="D38" s="6">
        <v>0.36244989279388456</v>
      </c>
      <c r="E38" s="7">
        <v>0.50079239302694134</v>
      </c>
      <c r="F38" s="2">
        <v>0.41773095926167614</v>
      </c>
      <c r="G38" s="3">
        <v>3.5115094266865182E-2</v>
      </c>
      <c r="H38" s="4" t="s">
        <v>79</v>
      </c>
      <c r="I38" s="1" t="s">
        <v>78</v>
      </c>
      <c r="J38" s="4" t="s">
        <v>79</v>
      </c>
      <c r="K38" s="5">
        <f t="shared" ref="K38:O38" si="31">B38*100</f>
        <v>32.068611913862213</v>
      </c>
      <c r="L38" s="5">
        <f t="shared" si="31"/>
        <v>48.699543208725643</v>
      </c>
      <c r="M38" s="5">
        <f t="shared" si="31"/>
        <v>36.244989279388456</v>
      </c>
      <c r="N38" s="5">
        <f t="shared" si="31"/>
        <v>50.079239302694134</v>
      </c>
      <c r="O38" s="5">
        <f t="shared" si="31"/>
        <v>41.773095926167613</v>
      </c>
      <c r="P38" s="3">
        <v>3.5115094266865182E-2</v>
      </c>
      <c r="Q38" s="5">
        <v>7</v>
      </c>
    </row>
    <row r="39" spans="1:17" x14ac:dyDescent="0.2">
      <c r="A39" s="1" t="s">
        <v>80</v>
      </c>
      <c r="C39" s="2">
        <v>0.65374892186895872</v>
      </c>
      <c r="D39" s="2">
        <v>0.58775243137138267</v>
      </c>
      <c r="E39" s="2">
        <v>3.3102340659667488E-2</v>
      </c>
      <c r="F39" s="2">
        <v>0.42486789796666968</v>
      </c>
      <c r="G39" s="3">
        <v>4.9428576592332962E-2</v>
      </c>
      <c r="H39" s="4" t="s">
        <v>81</v>
      </c>
      <c r="I39" s="1" t="s">
        <v>80</v>
      </c>
      <c r="J39" s="4" t="s">
        <v>81</v>
      </c>
      <c r="L39" s="5">
        <f t="shared" ref="L39:O39" si="32">C39*100</f>
        <v>65.374892186895877</v>
      </c>
      <c r="M39" s="5">
        <f t="shared" si="32"/>
        <v>58.775243137138268</v>
      </c>
      <c r="N39" s="5">
        <f t="shared" si="32"/>
        <v>3.3102340659667489</v>
      </c>
      <c r="O39" s="5">
        <f t="shared" si="32"/>
        <v>42.486789796666969</v>
      </c>
      <c r="P39" s="3">
        <v>4.9428576592332962E-2</v>
      </c>
      <c r="Q39" s="5">
        <v>7</v>
      </c>
    </row>
    <row r="40" spans="1:17" x14ac:dyDescent="0.2">
      <c r="A40" s="1" t="s">
        <v>82</v>
      </c>
      <c r="B40" s="2">
        <v>0.37028060035424631</v>
      </c>
      <c r="C40" s="7">
        <v>0.36133122028526149</v>
      </c>
      <c r="D40" s="6">
        <v>0.51235200894938004</v>
      </c>
      <c r="E40" s="7">
        <v>0.47319847114757158</v>
      </c>
      <c r="F40" s="2">
        <v>0.42929057518411484</v>
      </c>
      <c r="G40" s="3">
        <v>3.7212956414630474E-2</v>
      </c>
      <c r="H40" s="4" t="s">
        <v>83</v>
      </c>
      <c r="I40" s="1" t="s">
        <v>82</v>
      </c>
      <c r="J40" s="4" t="s">
        <v>83</v>
      </c>
      <c r="K40" s="5">
        <f t="shared" ref="K40:O40" si="33">B40*100</f>
        <v>37.02806003542463</v>
      </c>
      <c r="L40" s="5">
        <f t="shared" si="33"/>
        <v>36.133122028526152</v>
      </c>
      <c r="M40" s="5">
        <f t="shared" si="33"/>
        <v>51.235200894938004</v>
      </c>
      <c r="N40" s="5">
        <f t="shared" si="33"/>
        <v>47.31984711475716</v>
      </c>
      <c r="O40" s="5">
        <f t="shared" si="33"/>
        <v>42.929057518411483</v>
      </c>
      <c r="P40" s="3">
        <v>3.7212956414630474E-2</v>
      </c>
      <c r="Q40" s="5">
        <v>7</v>
      </c>
    </row>
    <row r="41" spans="1:17" x14ac:dyDescent="0.2">
      <c r="A41" s="1" t="s">
        <v>84</v>
      </c>
      <c r="B41" s="2">
        <v>0.45306236599235572</v>
      </c>
      <c r="C41" s="2">
        <v>0.44299431341474782</v>
      </c>
      <c r="D41" s="2">
        <v>0.47058823529411764</v>
      </c>
      <c r="E41" s="2">
        <v>0.41502750069917033</v>
      </c>
      <c r="F41" s="2">
        <v>0.44541810385009789</v>
      </c>
      <c r="G41" s="3">
        <v>4.0686842269605325E-2</v>
      </c>
      <c r="H41" s="4" t="s">
        <v>85</v>
      </c>
      <c r="I41" s="1" t="s">
        <v>84</v>
      </c>
      <c r="J41" s="4" t="s">
        <v>85</v>
      </c>
      <c r="K41" s="5">
        <f t="shared" ref="K41:O41" si="34">B41*100</f>
        <v>45.306236599235575</v>
      </c>
      <c r="L41" s="5">
        <f t="shared" si="34"/>
        <v>44.299431341474779</v>
      </c>
      <c r="M41" s="5">
        <f t="shared" si="34"/>
        <v>47.058823529411761</v>
      </c>
      <c r="N41" s="5">
        <f t="shared" si="34"/>
        <v>41.502750069917035</v>
      </c>
      <c r="O41" s="5">
        <f t="shared" si="34"/>
        <v>44.541810385009789</v>
      </c>
      <c r="P41" s="3">
        <v>4.0686842269605325E-2</v>
      </c>
      <c r="Q41" s="5">
        <v>7</v>
      </c>
    </row>
    <row r="42" spans="1:17" x14ac:dyDescent="0.2">
      <c r="A42" s="1" t="s">
        <v>86</v>
      </c>
      <c r="C42" s="7">
        <v>0.32219016744490381</v>
      </c>
      <c r="D42" s="6">
        <v>0.49308509056300748</v>
      </c>
      <c r="E42" s="7">
        <v>0.54138536121107572</v>
      </c>
      <c r="F42" s="2">
        <v>0.45222020640632898</v>
      </c>
      <c r="G42" s="3">
        <v>5.4200056285692568E-3</v>
      </c>
      <c r="H42" s="4" t="s">
        <v>87</v>
      </c>
      <c r="I42" s="1" t="s">
        <v>86</v>
      </c>
      <c r="J42" s="4" t="s">
        <v>87</v>
      </c>
      <c r="L42" s="5">
        <f t="shared" ref="L42:O42" si="35">C42*100</f>
        <v>32.219016744490382</v>
      </c>
      <c r="M42" s="5">
        <f t="shared" si="35"/>
        <v>49.30850905630075</v>
      </c>
      <c r="N42" s="5">
        <f t="shared" si="35"/>
        <v>54.13853612110757</v>
      </c>
      <c r="O42" s="5">
        <f t="shared" si="35"/>
        <v>45.222020640632898</v>
      </c>
      <c r="P42" s="3">
        <v>5.4200056285692568E-3</v>
      </c>
      <c r="Q42" s="5">
        <v>7</v>
      </c>
    </row>
    <row r="43" spans="1:17" x14ac:dyDescent="0.2">
      <c r="A43" s="1" t="s">
        <v>88</v>
      </c>
      <c r="C43" s="2">
        <v>0.43740652880202158</v>
      </c>
      <c r="D43" s="2">
        <v>0.39857408075911505</v>
      </c>
      <c r="E43" s="2">
        <v>0.52265226135836218</v>
      </c>
      <c r="F43" s="2">
        <v>0.45287762363983292</v>
      </c>
      <c r="G43" s="3">
        <v>4.0974156330320755E-2</v>
      </c>
      <c r="H43" s="4" t="s">
        <v>89</v>
      </c>
      <c r="I43" s="1" t="s">
        <v>88</v>
      </c>
      <c r="J43" s="4" t="s">
        <v>89</v>
      </c>
      <c r="L43" s="5">
        <f t="shared" ref="L43:O43" si="36">C43*100</f>
        <v>43.740652880202155</v>
      </c>
      <c r="M43" s="5">
        <f t="shared" si="36"/>
        <v>39.857408075911508</v>
      </c>
      <c r="N43" s="5">
        <f t="shared" si="36"/>
        <v>52.265226135836215</v>
      </c>
      <c r="O43" s="5">
        <f t="shared" si="36"/>
        <v>45.28776236398329</v>
      </c>
      <c r="P43" s="3">
        <v>4.0974156330320755E-2</v>
      </c>
      <c r="Q43" s="5">
        <v>4</v>
      </c>
    </row>
    <row r="44" spans="1:17" x14ac:dyDescent="0.2">
      <c r="A44" s="1" t="s">
        <v>90</v>
      </c>
      <c r="C44" s="7">
        <v>0.63056314785209633</v>
      </c>
      <c r="D44" s="6">
        <v>0.33850755505131247</v>
      </c>
      <c r="E44" s="7">
        <v>0.46316590170697747</v>
      </c>
      <c r="F44" s="2">
        <v>0.47741220153679542</v>
      </c>
      <c r="G44" s="3">
        <v>3.8182330970743084E-2</v>
      </c>
      <c r="H44" s="4" t="s">
        <v>91</v>
      </c>
      <c r="I44" s="1" t="s">
        <v>90</v>
      </c>
      <c r="J44" s="4" t="s">
        <v>91</v>
      </c>
      <c r="L44" s="5">
        <f t="shared" ref="L44:O44" si="37">C44*100</f>
        <v>63.056314785209636</v>
      </c>
      <c r="M44" s="5">
        <f t="shared" si="37"/>
        <v>33.850755505131247</v>
      </c>
      <c r="N44" s="5">
        <f t="shared" si="37"/>
        <v>46.316590170697744</v>
      </c>
      <c r="O44" s="5">
        <f t="shared" si="37"/>
        <v>47.741220153679542</v>
      </c>
      <c r="P44" s="3">
        <v>3.8182330970743084E-2</v>
      </c>
      <c r="Q44" s="5">
        <v>4</v>
      </c>
    </row>
    <row r="45" spans="1:17" x14ac:dyDescent="0.2">
      <c r="A45" s="1" t="s">
        <v>92</v>
      </c>
      <c r="C45" s="2">
        <v>0.2930434523986557</v>
      </c>
      <c r="D45" s="2">
        <v>0.60095767778009102</v>
      </c>
      <c r="E45" s="2">
        <v>0.55634535883175207</v>
      </c>
      <c r="F45" s="2">
        <v>0.48344882967016628</v>
      </c>
      <c r="G45" s="3">
        <v>1.495164589978451E-2</v>
      </c>
      <c r="H45" s="4" t="s">
        <v>93</v>
      </c>
      <c r="I45" s="1" t="s">
        <v>92</v>
      </c>
      <c r="J45" s="4" t="s">
        <v>93</v>
      </c>
      <c r="L45" s="5">
        <f t="shared" ref="L45:O45" si="38">C45*100</f>
        <v>29.304345239865569</v>
      </c>
      <c r="M45" s="5">
        <f t="shared" si="38"/>
        <v>60.095767778009105</v>
      </c>
      <c r="N45" s="5">
        <f t="shared" si="38"/>
        <v>55.634535883175204</v>
      </c>
      <c r="O45" s="5">
        <f t="shared" si="38"/>
        <v>48.34488296701663</v>
      </c>
      <c r="P45" s="3">
        <v>1.495164589978451E-2</v>
      </c>
      <c r="Q45" s="5">
        <v>7</v>
      </c>
    </row>
    <row r="46" spans="1:17" x14ac:dyDescent="0.2">
      <c r="A46" s="1" t="s">
        <v>94</v>
      </c>
      <c r="C46" s="2">
        <v>0.31859144038307113</v>
      </c>
      <c r="D46" s="2">
        <v>0.68524521904648605</v>
      </c>
      <c r="E46" s="2">
        <v>0.65916188323469049</v>
      </c>
      <c r="F46" s="2">
        <v>0.55433284755474921</v>
      </c>
      <c r="G46" s="3">
        <v>3.0515650144994706E-2</v>
      </c>
      <c r="H46" s="4" t="s">
        <v>95</v>
      </c>
      <c r="I46" s="1" t="s">
        <v>94</v>
      </c>
      <c r="J46" s="4" t="s">
        <v>95</v>
      </c>
      <c r="L46" s="5">
        <f t="shared" ref="L46:O46" si="39">C46*100</f>
        <v>31.859144038307114</v>
      </c>
      <c r="M46" s="5">
        <f t="shared" si="39"/>
        <v>68.524521904648608</v>
      </c>
      <c r="N46" s="5">
        <f t="shared" si="39"/>
        <v>65.916188323469044</v>
      </c>
      <c r="O46" s="5">
        <f t="shared" si="39"/>
        <v>55.433284755474922</v>
      </c>
      <c r="P46" s="3">
        <v>3.0515650144994706E-2</v>
      </c>
      <c r="Q46" s="5">
        <v>7</v>
      </c>
    </row>
    <row r="47" spans="1:17" x14ac:dyDescent="0.2">
      <c r="A47" s="1" t="s">
        <v>96</v>
      </c>
      <c r="C47" s="2">
        <v>0.80950539809059274</v>
      </c>
      <c r="D47" s="2">
        <v>0.42875412663950274</v>
      </c>
      <c r="E47" s="2">
        <v>0.52934003509502425</v>
      </c>
      <c r="F47" s="2">
        <v>0.58919985327503988</v>
      </c>
      <c r="G47" s="3">
        <v>3.3110281728280837E-2</v>
      </c>
      <c r="H47" s="4" t="s">
        <v>97</v>
      </c>
      <c r="I47" s="1" t="s">
        <v>96</v>
      </c>
      <c r="J47" s="4" t="s">
        <v>97</v>
      </c>
      <c r="L47" s="5">
        <f t="shared" ref="L47:O47" si="40">C47*100</f>
        <v>80.950539809059279</v>
      </c>
      <c r="M47" s="5">
        <f t="shared" si="40"/>
        <v>42.875412663950272</v>
      </c>
      <c r="N47" s="5">
        <f t="shared" si="40"/>
        <v>52.934003509502425</v>
      </c>
      <c r="O47" s="5">
        <f t="shared" si="40"/>
        <v>58.919985327503987</v>
      </c>
      <c r="P47" s="3">
        <v>3.3110281728280837E-2</v>
      </c>
      <c r="Q47" s="5">
        <v>7</v>
      </c>
    </row>
    <row r="48" spans="1:17" x14ac:dyDescent="0.2">
      <c r="A48" s="1" t="s">
        <v>98</v>
      </c>
      <c r="C48" s="2">
        <v>0.41290188263985961</v>
      </c>
      <c r="D48" s="2">
        <v>0.71061475775510807</v>
      </c>
      <c r="E48" s="2">
        <v>0.69324569491122146</v>
      </c>
      <c r="F48" s="2">
        <v>0.60558744510206308</v>
      </c>
      <c r="G48" s="3">
        <v>2.5660336371461961E-2</v>
      </c>
      <c r="H48" s="4" t="s">
        <v>99</v>
      </c>
      <c r="I48" s="1" t="s">
        <v>98</v>
      </c>
      <c r="J48" s="4" t="s">
        <v>99</v>
      </c>
      <c r="L48" s="5">
        <f t="shared" ref="L48:O48" si="41">C48*100</f>
        <v>41.290188263985961</v>
      </c>
      <c r="M48" s="5">
        <f t="shared" si="41"/>
        <v>71.061475775510814</v>
      </c>
      <c r="N48" s="5">
        <f t="shared" si="41"/>
        <v>69.324569491122148</v>
      </c>
      <c r="O48" s="5">
        <f t="shared" si="41"/>
        <v>60.55874451020631</v>
      </c>
      <c r="P48" s="3">
        <v>2.5660336371461961E-2</v>
      </c>
      <c r="Q48" s="5">
        <v>7</v>
      </c>
    </row>
    <row r="49" spans="1:17" x14ac:dyDescent="0.2">
      <c r="A49" s="1" t="s">
        <v>100</v>
      </c>
      <c r="C49" s="7">
        <v>0.76474437141242602</v>
      </c>
      <c r="D49" s="6">
        <v>0.49995538768105169</v>
      </c>
      <c r="E49" s="6">
        <v>0.57160277191208397</v>
      </c>
      <c r="F49" s="2">
        <v>0.61210084366852058</v>
      </c>
      <c r="G49" s="3">
        <v>1.7268098359599672E-2</v>
      </c>
      <c r="H49" s="4" t="s">
        <v>101</v>
      </c>
      <c r="I49" s="1" t="s">
        <v>100</v>
      </c>
      <c r="J49" s="4" t="s">
        <v>101</v>
      </c>
      <c r="L49" s="5">
        <f t="shared" ref="L49:O49" si="42">C49*100</f>
        <v>76.474437141242603</v>
      </c>
      <c r="M49" s="5">
        <f t="shared" si="42"/>
        <v>49.99553876810517</v>
      </c>
      <c r="N49" s="5">
        <f t="shared" si="42"/>
        <v>57.160277191208394</v>
      </c>
      <c r="O49" s="5">
        <f t="shared" si="42"/>
        <v>61.210084366852058</v>
      </c>
      <c r="P49" s="3">
        <v>1.7268098359599672E-2</v>
      </c>
      <c r="Q49" s="5">
        <v>7</v>
      </c>
    </row>
    <row r="50" spans="1:17" x14ac:dyDescent="0.2">
      <c r="A50" s="1" t="s">
        <v>102</v>
      </c>
      <c r="C50" s="7">
        <v>0.8098028135502483</v>
      </c>
      <c r="D50" s="6">
        <v>0.63266216577937717</v>
      </c>
      <c r="E50" s="6">
        <v>0.50655801088540586</v>
      </c>
      <c r="F50" s="2">
        <v>0.64967433007167708</v>
      </c>
      <c r="G50" s="3">
        <v>2.6639498233306282E-2</v>
      </c>
      <c r="H50" s="4" t="s">
        <v>103</v>
      </c>
      <c r="I50" s="1" t="s">
        <v>102</v>
      </c>
      <c r="J50" s="4" t="s">
        <v>103</v>
      </c>
      <c r="L50" s="5">
        <f t="shared" ref="L50:O50" si="43">C50*100</f>
        <v>80.980281355024829</v>
      </c>
      <c r="M50" s="5">
        <f t="shared" si="43"/>
        <v>63.266216577937719</v>
      </c>
      <c r="N50" s="5">
        <f t="shared" si="43"/>
        <v>50.655801088540585</v>
      </c>
      <c r="O50" s="5">
        <f t="shared" si="43"/>
        <v>64.967433007167713</v>
      </c>
      <c r="P50" s="3">
        <v>2.6639498233306282E-2</v>
      </c>
      <c r="Q50" s="5">
        <v>7</v>
      </c>
    </row>
    <row r="51" spans="1:17" ht="13.5" thickBot="1" x14ac:dyDescent="0.25">
      <c r="A51" s="1" t="s">
        <v>104</v>
      </c>
      <c r="C51" s="2">
        <v>0.83469648752342152</v>
      </c>
      <c r="D51" s="2">
        <v>0.86512208904618859</v>
      </c>
      <c r="E51" s="2">
        <v>0.70680783987151652</v>
      </c>
      <c r="F51" s="2">
        <v>0.80220880548037554</v>
      </c>
      <c r="G51" s="3">
        <v>2.1796239880217849E-2</v>
      </c>
      <c r="H51" s="4" t="s">
        <v>105</v>
      </c>
      <c r="I51" s="1" t="s">
        <v>104</v>
      </c>
      <c r="J51" s="4" t="s">
        <v>105</v>
      </c>
      <c r="L51" s="5">
        <f t="shared" ref="L51:O51" si="44">C51*100</f>
        <v>83.469648752342152</v>
      </c>
      <c r="M51" s="5">
        <f t="shared" si="44"/>
        <v>86.512208904618859</v>
      </c>
      <c r="N51" s="5">
        <f t="shared" si="44"/>
        <v>70.680783987151656</v>
      </c>
      <c r="O51" s="5">
        <f t="shared" si="44"/>
        <v>80.220880548037556</v>
      </c>
      <c r="P51" s="3">
        <v>2.1796239880217849E-2</v>
      </c>
      <c r="Q51" s="5">
        <v>7</v>
      </c>
    </row>
    <row r="52" spans="1:17" ht="13.5" thickBot="1" x14ac:dyDescent="0.25">
      <c r="A52" s="1" t="s">
        <v>175</v>
      </c>
      <c r="C52" s="2">
        <v>2.4305683609434019</v>
      </c>
      <c r="D52" s="2">
        <v>0.72792433750706365</v>
      </c>
      <c r="E52" s="2">
        <v>0.84822889093775089</v>
      </c>
      <c r="F52" s="2">
        <v>1.3355738631294054</v>
      </c>
      <c r="G52" s="2">
        <v>0.30153161086698643</v>
      </c>
      <c r="H52" s="4" t="s">
        <v>176</v>
      </c>
      <c r="I52" s="1" t="s">
        <v>175</v>
      </c>
      <c r="J52" s="4" t="s">
        <v>176</v>
      </c>
      <c r="L52" s="16">
        <v>84.607955039999993</v>
      </c>
      <c r="M52" s="14">
        <v>85.925015369999997</v>
      </c>
      <c r="N52" s="14">
        <v>74.563174989999993</v>
      </c>
      <c r="O52" s="5">
        <f>AVERAGE(L52:N52)</f>
        <v>81.698715133333323</v>
      </c>
      <c r="P52" s="15">
        <v>1.096522802E-2</v>
      </c>
      <c r="Q52" s="5">
        <v>7</v>
      </c>
    </row>
    <row r="53" spans="1:17" ht="12.75" x14ac:dyDescent="0.2">
      <c r="A53" s="1" t="s">
        <v>106</v>
      </c>
      <c r="C53" s="2">
        <v>0.8568539392677631</v>
      </c>
      <c r="D53" s="2">
        <v>0.90369687416351907</v>
      </c>
      <c r="E53" s="2">
        <v>0.70936561282455457</v>
      </c>
      <c r="F53" s="2">
        <v>0.82330547541861221</v>
      </c>
      <c r="G53" s="3">
        <v>4.2536525150001642E-2</v>
      </c>
      <c r="H53" s="4" t="s">
        <v>107</v>
      </c>
      <c r="I53" s="1" t="s">
        <v>106</v>
      </c>
      <c r="J53" s="4" t="s">
        <v>107</v>
      </c>
      <c r="L53" s="5">
        <f t="shared" ref="L53:O53" si="45">C53*100</f>
        <v>85.685393926776314</v>
      </c>
      <c r="M53" s="5">
        <f t="shared" si="45"/>
        <v>90.369687416351908</v>
      </c>
      <c r="N53" s="5">
        <f t="shared" si="45"/>
        <v>70.936561282455457</v>
      </c>
      <c r="O53" s="5">
        <f t="shared" si="45"/>
        <v>82.330547541861222</v>
      </c>
      <c r="P53" s="3">
        <v>4.2536525150001642E-2</v>
      </c>
      <c r="Q53" s="5">
        <v>7</v>
      </c>
    </row>
    <row r="54" spans="1:17" x14ac:dyDescent="0.2">
      <c r="A54" s="1" t="s">
        <v>108</v>
      </c>
      <c r="C54" s="2">
        <v>0.80554977247717341</v>
      </c>
      <c r="D54" s="2">
        <v>0.91910299497367876</v>
      </c>
      <c r="E54" s="2">
        <v>0.90435118817476134</v>
      </c>
      <c r="F54" s="2">
        <v>0.87633465187520443</v>
      </c>
      <c r="G54" s="3">
        <v>2.797983034626091E-2</v>
      </c>
      <c r="H54" s="4" t="s">
        <v>109</v>
      </c>
      <c r="I54" s="1" t="s">
        <v>108</v>
      </c>
      <c r="J54" s="4" t="s">
        <v>109</v>
      </c>
      <c r="L54" s="5">
        <f t="shared" ref="L54:O54" si="46">C54*100</f>
        <v>80.554977247717346</v>
      </c>
      <c r="M54" s="5">
        <f t="shared" si="46"/>
        <v>91.910299497367873</v>
      </c>
      <c r="N54" s="5">
        <f t="shared" si="46"/>
        <v>90.435118817476138</v>
      </c>
      <c r="O54" s="5">
        <f t="shared" si="46"/>
        <v>87.633465187520443</v>
      </c>
      <c r="P54" s="3">
        <v>2.797983034626091E-2</v>
      </c>
      <c r="Q54" s="5">
        <v>7</v>
      </c>
    </row>
    <row r="55" spans="1:17" x14ac:dyDescent="0.2">
      <c r="A55" s="1" t="s">
        <v>110</v>
      </c>
      <c r="C55" s="7">
        <v>0.48651220890461888</v>
      </c>
      <c r="D55" s="6">
        <v>0.72515837373226655</v>
      </c>
      <c r="E55" s="7">
        <v>1.9361746423579098E-2</v>
      </c>
      <c r="F55" s="2">
        <v>0.4103441096868215</v>
      </c>
      <c r="G55" s="2">
        <v>5.181866031979402E-2</v>
      </c>
      <c r="H55" s="4" t="s">
        <v>111</v>
      </c>
      <c r="I55" s="1" t="s">
        <v>110</v>
      </c>
      <c r="J55" s="4" t="s">
        <v>111</v>
      </c>
      <c r="L55" s="5">
        <f t="shared" ref="L55:O55" si="47">C55*100</f>
        <v>48.651220890461886</v>
      </c>
      <c r="M55" s="5">
        <f t="shared" si="47"/>
        <v>72.51583737322666</v>
      </c>
      <c r="N55" s="5">
        <f t="shared" si="47"/>
        <v>1.9361746423579098</v>
      </c>
      <c r="O55" s="5">
        <f t="shared" si="47"/>
        <v>41.034410968682153</v>
      </c>
      <c r="P55" s="2">
        <v>5.181866031979402E-2</v>
      </c>
      <c r="Q55" s="5">
        <v>7</v>
      </c>
    </row>
    <row r="56" spans="1:17" x14ac:dyDescent="0.2">
      <c r="A56" s="1" t="s">
        <v>112</v>
      </c>
      <c r="C56" s="7">
        <v>0.90529111443453147</v>
      </c>
      <c r="D56" s="6">
        <v>0.50265587128049094</v>
      </c>
      <c r="E56" s="7">
        <v>0.24974214841936981</v>
      </c>
      <c r="F56" s="2">
        <v>0.55256304471146411</v>
      </c>
      <c r="G56" s="2">
        <v>7.9340138064432533E-2</v>
      </c>
      <c r="H56" s="4" t="s">
        <v>113</v>
      </c>
      <c r="I56" s="1" t="s">
        <v>112</v>
      </c>
      <c r="J56" s="4" t="s">
        <v>113</v>
      </c>
      <c r="L56" s="5">
        <f t="shared" ref="L56:O56" si="48">C56*100</f>
        <v>90.529111443453147</v>
      </c>
      <c r="M56" s="5">
        <f t="shared" si="48"/>
        <v>50.265587128049091</v>
      </c>
      <c r="N56" s="5">
        <f t="shared" si="48"/>
        <v>24.97421484193698</v>
      </c>
      <c r="O56" s="5">
        <f t="shared" si="48"/>
        <v>55.256304471146414</v>
      </c>
      <c r="P56" s="2">
        <v>7.9340138064432533E-2</v>
      </c>
      <c r="Q56" s="5">
        <v>4</v>
      </c>
    </row>
    <row r="57" spans="1:17" x14ac:dyDescent="0.2">
      <c r="A57" s="1" t="s">
        <v>114</v>
      </c>
      <c r="B57" s="2">
        <v>0.59028619371678936</v>
      </c>
      <c r="C57" s="7">
        <v>0.54255616668220374</v>
      </c>
      <c r="D57" s="6">
        <v>0.63764332991516737</v>
      </c>
      <c r="E57" s="6">
        <v>0.46574065442341755</v>
      </c>
      <c r="F57" s="2">
        <v>0.55905658618439447</v>
      </c>
      <c r="G57" s="2">
        <v>6.5528948354933073E-2</v>
      </c>
      <c r="H57" s="4" t="s">
        <v>115</v>
      </c>
      <c r="I57" s="1" t="s">
        <v>114</v>
      </c>
      <c r="J57" s="4" t="s">
        <v>115</v>
      </c>
      <c r="K57" s="5">
        <f t="shared" ref="K57:O57" si="49">B57*100</f>
        <v>59.028619371678936</v>
      </c>
      <c r="L57" s="5">
        <f t="shared" si="49"/>
        <v>54.255616668220377</v>
      </c>
      <c r="M57" s="5">
        <f t="shared" si="49"/>
        <v>63.764332991516739</v>
      </c>
      <c r="N57" s="5">
        <f t="shared" si="49"/>
        <v>46.574065442341755</v>
      </c>
      <c r="O57" s="5">
        <f t="shared" si="49"/>
        <v>55.905658618439446</v>
      </c>
      <c r="P57" s="2">
        <v>6.5528948354933073E-2</v>
      </c>
      <c r="Q57" s="5">
        <v>7</v>
      </c>
    </row>
    <row r="58" spans="1:17" x14ac:dyDescent="0.2">
      <c r="A58" s="1" t="s">
        <v>116</v>
      </c>
      <c r="B58" s="2">
        <v>0.58804884869954321</v>
      </c>
      <c r="C58" s="2">
        <v>0.60072713713060499</v>
      </c>
      <c r="D58" s="2">
        <v>0.46163885522513282</v>
      </c>
      <c r="E58" s="2">
        <v>0.61004940803579755</v>
      </c>
      <c r="F58" s="2">
        <v>0.56511606227276967</v>
      </c>
      <c r="G58" s="2">
        <v>6.7428422736044713E-2</v>
      </c>
      <c r="H58" s="4" t="s">
        <v>117</v>
      </c>
      <c r="I58" s="1" t="s">
        <v>116</v>
      </c>
      <c r="J58" s="4" t="s">
        <v>117</v>
      </c>
      <c r="K58" s="5">
        <f t="shared" ref="K58:O58" si="50">B58*100</f>
        <v>58.804884869954321</v>
      </c>
      <c r="L58" s="5">
        <f t="shared" si="50"/>
        <v>60.072713713060502</v>
      </c>
      <c r="M58" s="5">
        <f t="shared" si="50"/>
        <v>46.163885522513283</v>
      </c>
      <c r="N58" s="5">
        <f t="shared" si="50"/>
        <v>61.004940803579757</v>
      </c>
      <c r="O58" s="5">
        <f t="shared" si="50"/>
        <v>56.511606227276964</v>
      </c>
      <c r="P58" s="2">
        <v>6.7428422736044713E-2</v>
      </c>
      <c r="Q58" s="5">
        <v>7</v>
      </c>
    </row>
    <row r="59" spans="1:17" x14ac:dyDescent="0.2">
      <c r="A59" s="1" t="s">
        <v>118</v>
      </c>
      <c r="B59" s="2">
        <v>0.46201174606134054</v>
      </c>
      <c r="C59" s="7">
        <v>0.66374568844970638</v>
      </c>
      <c r="D59" s="6">
        <v>0.59811690127715111</v>
      </c>
      <c r="E59" s="6">
        <v>0.62757527733755947</v>
      </c>
      <c r="F59" s="2">
        <v>0.58786240328143935</v>
      </c>
      <c r="G59" s="2">
        <v>7.4747355792668335E-2</v>
      </c>
      <c r="H59" s="4" t="s">
        <v>119</v>
      </c>
      <c r="I59" s="1" t="s">
        <v>118</v>
      </c>
      <c r="J59" s="4" t="s">
        <v>119</v>
      </c>
      <c r="K59" s="5">
        <f t="shared" ref="K59:O59" si="51">B59*100</f>
        <v>46.201174606134053</v>
      </c>
      <c r="L59" s="5">
        <f t="shared" si="51"/>
        <v>66.374568844970639</v>
      </c>
      <c r="M59" s="5">
        <f t="shared" si="51"/>
        <v>59.81169012771511</v>
      </c>
      <c r="N59" s="5">
        <f t="shared" si="51"/>
        <v>62.75752773375595</v>
      </c>
      <c r="O59" s="5">
        <f t="shared" si="51"/>
        <v>58.786240328143933</v>
      </c>
      <c r="P59" s="2">
        <v>7.4747355792668335E-2</v>
      </c>
      <c r="Q59" s="5">
        <v>7</v>
      </c>
    </row>
    <row r="60" spans="1:17" x14ac:dyDescent="0.2">
      <c r="A60" s="1" t="s">
        <v>120</v>
      </c>
      <c r="C60" s="7">
        <v>0.94030871724712251</v>
      </c>
      <c r="D60" s="6">
        <v>0.43690331023406598</v>
      </c>
      <c r="E60" s="6">
        <v>0.39577075216369745</v>
      </c>
      <c r="F60" s="2">
        <v>0.59099425988162868</v>
      </c>
      <c r="G60" s="2">
        <v>7.1672412175857556E-2</v>
      </c>
      <c r="H60" s="4" t="s">
        <v>121</v>
      </c>
      <c r="I60" s="1" t="s">
        <v>120</v>
      </c>
      <c r="J60" s="4" t="s">
        <v>121</v>
      </c>
      <c r="L60" s="5">
        <f t="shared" ref="L60:O60" si="52">C60*100</f>
        <v>94.030871724712256</v>
      </c>
      <c r="M60" s="5">
        <f t="shared" si="52"/>
        <v>43.6903310234066</v>
      </c>
      <c r="N60" s="5">
        <f t="shared" si="52"/>
        <v>39.577075216369742</v>
      </c>
      <c r="O60" s="5">
        <f t="shared" si="52"/>
        <v>59.099425988162871</v>
      </c>
      <c r="P60" s="2">
        <v>7.1672412175857556E-2</v>
      </c>
      <c r="Q60" s="5">
        <v>7</v>
      </c>
    </row>
    <row r="61" spans="1:17" x14ac:dyDescent="0.2">
      <c r="A61" s="1" t="s">
        <v>122</v>
      </c>
      <c r="C61" s="7">
        <v>0.89884900217113284</v>
      </c>
      <c r="D61" s="6">
        <v>0.40389019421229516</v>
      </c>
      <c r="E61" s="6">
        <v>0.5147666775719002</v>
      </c>
      <c r="F61" s="2">
        <v>0.60583529131844271</v>
      </c>
      <c r="G61" s="2">
        <v>5.8850389663109744E-2</v>
      </c>
      <c r="H61" s="4" t="s">
        <v>123</v>
      </c>
      <c r="I61" s="1" t="s">
        <v>122</v>
      </c>
      <c r="J61" s="4" t="s">
        <v>123</v>
      </c>
      <c r="L61" s="5">
        <f t="shared" ref="L61:O61" si="53">C61*100</f>
        <v>89.884900217113284</v>
      </c>
      <c r="M61" s="5">
        <f t="shared" si="53"/>
        <v>40.389019421229513</v>
      </c>
      <c r="N61" s="5">
        <f t="shared" si="53"/>
        <v>51.476667757190022</v>
      </c>
      <c r="O61" s="5">
        <f t="shared" si="53"/>
        <v>60.583529131844273</v>
      </c>
      <c r="P61" s="2">
        <v>5.8850389663109744E-2</v>
      </c>
      <c r="Q61" s="5">
        <v>7</v>
      </c>
    </row>
    <row r="62" spans="1:17" x14ac:dyDescent="0.2">
      <c r="A62" s="1" t="s">
        <v>124</v>
      </c>
      <c r="B62" s="2">
        <v>0.36916192784562318</v>
      </c>
      <c r="C62" s="2">
        <v>0.60259159131164353</v>
      </c>
      <c r="D62" s="2">
        <v>0.68910226531182994</v>
      </c>
      <c r="E62" s="2">
        <v>0.79873217115689377</v>
      </c>
      <c r="F62" s="2">
        <v>0.61489698890649758</v>
      </c>
      <c r="G62" s="2">
        <v>8.6646443113335248E-2</v>
      </c>
      <c r="H62" s="4" t="s">
        <v>125</v>
      </c>
      <c r="I62" s="1" t="s">
        <v>124</v>
      </c>
      <c r="J62" s="4" t="s">
        <v>125</v>
      </c>
      <c r="K62" s="5">
        <f t="shared" ref="K62:O62" si="54">B62*100</f>
        <v>36.91619278456232</v>
      </c>
      <c r="L62" s="5">
        <f t="shared" si="54"/>
        <v>60.259159131164353</v>
      </c>
      <c r="M62" s="5">
        <f t="shared" si="54"/>
        <v>68.910226531183</v>
      </c>
      <c r="N62" s="5">
        <f t="shared" si="54"/>
        <v>79.873217115689371</v>
      </c>
      <c r="O62" s="5">
        <f t="shared" si="54"/>
        <v>61.489698890649755</v>
      </c>
      <c r="P62" s="2">
        <v>8.6646443113335248E-2</v>
      </c>
      <c r="Q62" s="5">
        <v>7</v>
      </c>
    </row>
    <row r="63" spans="1:17" x14ac:dyDescent="0.2">
      <c r="A63" s="1" t="s">
        <v>126</v>
      </c>
      <c r="B63" s="2">
        <v>0.563438053509835</v>
      </c>
      <c r="C63" s="2">
        <v>0.68947515614803767</v>
      </c>
      <c r="D63" s="2">
        <v>0.72825580311363847</v>
      </c>
      <c r="E63" s="2">
        <v>0.64621981914794446</v>
      </c>
      <c r="F63" s="2">
        <v>0.65684720797986385</v>
      </c>
      <c r="G63" s="2">
        <v>0.10414824712177018</v>
      </c>
      <c r="H63" s="4" t="s">
        <v>127</v>
      </c>
      <c r="I63" s="1" t="s">
        <v>126</v>
      </c>
      <c r="J63" s="4" t="s">
        <v>127</v>
      </c>
      <c r="K63" s="5">
        <f t="shared" ref="K63:O63" si="55">B63*100</f>
        <v>56.343805350983502</v>
      </c>
      <c r="L63" s="5">
        <f t="shared" si="55"/>
        <v>68.947515614803763</v>
      </c>
      <c r="M63" s="5">
        <f t="shared" si="55"/>
        <v>72.825580311363851</v>
      </c>
      <c r="N63" s="5">
        <f t="shared" si="55"/>
        <v>64.621981914794446</v>
      </c>
      <c r="O63" s="5">
        <f t="shared" si="55"/>
        <v>65.684720797986387</v>
      </c>
      <c r="P63" s="2">
        <v>0.10414824712177018</v>
      </c>
      <c r="Q63" s="5">
        <v>7</v>
      </c>
    </row>
    <row r="64" spans="1:17" x14ac:dyDescent="0.2">
      <c r="A64" s="1" t="s">
        <v>128</v>
      </c>
      <c r="B64" s="2">
        <v>0.39153537801808519</v>
      </c>
      <c r="C64" s="7">
        <v>0.79686771697585534</v>
      </c>
      <c r="D64" s="6">
        <v>0.6682203784841988</v>
      </c>
      <c r="E64" s="7">
        <v>0.77561293931201636</v>
      </c>
      <c r="F64" s="2">
        <v>0.65805910319753891</v>
      </c>
      <c r="G64" s="2">
        <v>0.10816410932388379</v>
      </c>
      <c r="H64" s="4" t="s">
        <v>129</v>
      </c>
      <c r="I64" s="1" t="s">
        <v>128</v>
      </c>
      <c r="J64" s="4" t="s">
        <v>129</v>
      </c>
      <c r="K64" s="5">
        <f t="shared" ref="K64:O64" si="56">B64*100</f>
        <v>39.153537801808518</v>
      </c>
      <c r="L64" s="5">
        <f t="shared" si="56"/>
        <v>79.686771697585527</v>
      </c>
      <c r="M64" s="5">
        <f t="shared" si="56"/>
        <v>66.822037848419882</v>
      </c>
      <c r="N64" s="5">
        <f t="shared" si="56"/>
        <v>77.561293931201632</v>
      </c>
      <c r="O64" s="5">
        <f t="shared" si="56"/>
        <v>65.805910319753892</v>
      </c>
      <c r="P64" s="2">
        <v>0.10816410932388379</v>
      </c>
      <c r="Q64" s="5">
        <v>7</v>
      </c>
    </row>
    <row r="65" spans="1:17" x14ac:dyDescent="0.2">
      <c r="A65" s="1" t="s">
        <v>130</v>
      </c>
      <c r="B65" s="2">
        <v>0.59177775706162017</v>
      </c>
      <c r="C65" s="2">
        <v>0.76629066840682392</v>
      </c>
      <c r="D65" s="2">
        <v>0.68500046611354526</v>
      </c>
      <c r="E65" s="2">
        <v>0.60743917218234367</v>
      </c>
      <c r="F65" s="2">
        <v>0.6626270159410832</v>
      </c>
      <c r="G65" s="2">
        <v>0.1071716765994382</v>
      </c>
      <c r="H65" s="4" t="s">
        <v>131</v>
      </c>
      <c r="I65" s="1" t="s">
        <v>130</v>
      </c>
      <c r="J65" s="4" t="s">
        <v>131</v>
      </c>
      <c r="K65" s="5">
        <f t="shared" ref="K65:O65" si="57">B65*100</f>
        <v>59.177775706162016</v>
      </c>
      <c r="L65" s="5">
        <f t="shared" si="57"/>
        <v>76.629066840682398</v>
      </c>
      <c r="M65" s="5">
        <f t="shared" si="57"/>
        <v>68.50004661135452</v>
      </c>
      <c r="N65" s="5">
        <f t="shared" si="57"/>
        <v>60.743917218234365</v>
      </c>
      <c r="O65" s="5">
        <f t="shared" si="57"/>
        <v>66.262701594108322</v>
      </c>
      <c r="P65" s="2">
        <v>0.1071716765994382</v>
      </c>
      <c r="Q65" s="5">
        <v>7</v>
      </c>
    </row>
    <row r="66" spans="1:17" x14ac:dyDescent="0.2">
      <c r="A66" s="1" t="s">
        <v>132</v>
      </c>
      <c r="C66" s="7">
        <v>0.35398388008208664</v>
      </c>
      <c r="D66" s="6">
        <v>0.70648068286589538</v>
      </c>
      <c r="E66" s="7">
        <v>1.0041043333432471</v>
      </c>
      <c r="F66" s="2">
        <v>0.6881896320970764</v>
      </c>
      <c r="G66" s="2">
        <v>0.11912507193357658</v>
      </c>
      <c r="H66" s="4" t="s">
        <v>47</v>
      </c>
      <c r="I66" s="1" t="s">
        <v>132</v>
      </c>
      <c r="J66" s="4" t="s">
        <v>47</v>
      </c>
      <c r="L66" s="5">
        <f t="shared" ref="L66:O66" si="58">C66*100</f>
        <v>35.398388008208663</v>
      </c>
      <c r="M66" s="5">
        <f t="shared" si="58"/>
        <v>70.648068286589535</v>
      </c>
      <c r="N66" s="5">
        <f t="shared" si="58"/>
        <v>100.41043333432471</v>
      </c>
      <c r="O66" s="5">
        <f t="shared" si="58"/>
        <v>68.818963209707647</v>
      </c>
      <c r="P66" s="2">
        <v>0.11912507193357658</v>
      </c>
      <c r="Q66" s="5">
        <v>4</v>
      </c>
    </row>
    <row r="67" spans="1:17" x14ac:dyDescent="0.2">
      <c r="A67" s="1" t="s">
        <v>133</v>
      </c>
      <c r="B67" s="2">
        <v>1.01500885615736</v>
      </c>
      <c r="C67" s="2">
        <v>0.46275752773375595</v>
      </c>
      <c r="D67" s="2">
        <v>1.0459587955625991</v>
      </c>
      <c r="E67" s="2">
        <v>0.37811130791460801</v>
      </c>
      <c r="F67" s="2">
        <v>0.72545912184208072</v>
      </c>
      <c r="G67" s="2">
        <v>0.18166562880646397</v>
      </c>
      <c r="H67" s="4" t="s">
        <v>134</v>
      </c>
      <c r="I67" s="1" t="s">
        <v>133</v>
      </c>
      <c r="J67" s="4" t="s">
        <v>134</v>
      </c>
      <c r="K67" s="5">
        <f t="shared" ref="K67:O67" si="59">B67*100</f>
        <v>101.500885615736</v>
      </c>
      <c r="L67" s="5">
        <f t="shared" si="59"/>
        <v>46.275752773375594</v>
      </c>
      <c r="M67" s="5">
        <f t="shared" si="59"/>
        <v>104.5958795562599</v>
      </c>
      <c r="N67" s="5">
        <f t="shared" si="59"/>
        <v>37.811130791460798</v>
      </c>
      <c r="O67" s="5">
        <f t="shared" si="59"/>
        <v>72.545912184208078</v>
      </c>
      <c r="P67" s="2">
        <v>0.18166562880646397</v>
      </c>
      <c r="Q67" s="5">
        <v>7</v>
      </c>
    </row>
    <row r="68" spans="1:17" x14ac:dyDescent="0.2">
      <c r="A68" s="1" t="s">
        <v>135</v>
      </c>
      <c r="C68" s="7">
        <v>1.0693870267376497</v>
      </c>
      <c r="D68" s="6">
        <v>0.63991910299497368</v>
      </c>
      <c r="E68" s="7">
        <v>0.49585105433780446</v>
      </c>
      <c r="F68" s="2">
        <v>0.73505239469014261</v>
      </c>
      <c r="G68" s="2">
        <v>0.1316319538092614</v>
      </c>
      <c r="H68" s="4" t="s">
        <v>136</v>
      </c>
      <c r="I68" s="1" t="s">
        <v>135</v>
      </c>
      <c r="J68" s="4" t="s">
        <v>136</v>
      </c>
      <c r="L68" s="5">
        <f t="shared" ref="L68:O68" si="60">C68*100</f>
        <v>106.93870267376498</v>
      </c>
      <c r="M68" s="5">
        <f t="shared" si="60"/>
        <v>63.99191029949737</v>
      </c>
      <c r="N68" s="5">
        <f t="shared" si="60"/>
        <v>49.585105433780448</v>
      </c>
      <c r="O68" s="5">
        <f t="shared" si="60"/>
        <v>73.505239469014256</v>
      </c>
      <c r="P68" s="2">
        <v>0.1316319538092614</v>
      </c>
      <c r="Q68" s="5">
        <v>7</v>
      </c>
    </row>
    <row r="69" spans="1:17" x14ac:dyDescent="0.2">
      <c r="A69" s="1" t="s">
        <v>137</v>
      </c>
      <c r="B69" s="2">
        <v>0.90239582362263449</v>
      </c>
      <c r="C69" s="2">
        <v>0.89456511606227274</v>
      </c>
      <c r="D69" s="2">
        <v>0.69767875454460704</v>
      </c>
      <c r="E69" s="2">
        <v>0.46723221776824836</v>
      </c>
      <c r="F69" s="2">
        <v>0.74046797799944064</v>
      </c>
      <c r="G69" s="2">
        <v>0.16638731276311264</v>
      </c>
      <c r="H69" s="4" t="s">
        <v>138</v>
      </c>
      <c r="I69" s="1" t="s">
        <v>137</v>
      </c>
      <c r="J69" s="4" t="s">
        <v>138</v>
      </c>
      <c r="K69" s="5">
        <f t="shared" ref="K69:O69" si="61">B69*100</f>
        <v>90.239582362263448</v>
      </c>
      <c r="L69" s="5">
        <f t="shared" si="61"/>
        <v>89.456511606227281</v>
      </c>
      <c r="M69" s="5">
        <f t="shared" si="61"/>
        <v>69.767875454460707</v>
      </c>
      <c r="N69" s="5">
        <f t="shared" si="61"/>
        <v>46.723221776824836</v>
      </c>
      <c r="O69" s="5">
        <f t="shared" si="61"/>
        <v>74.046797799944059</v>
      </c>
      <c r="P69" s="2">
        <v>0.16638731276311264</v>
      </c>
      <c r="Q69" s="5">
        <v>7</v>
      </c>
    </row>
    <row r="70" spans="1:17" x14ac:dyDescent="0.2">
      <c r="A70" s="1" t="s">
        <v>139</v>
      </c>
      <c r="B70" s="2">
        <v>0.97995711755383608</v>
      </c>
      <c r="C70" s="7">
        <v>0.84720797986389484</v>
      </c>
      <c r="D70" s="6">
        <v>0.66486436095832946</v>
      </c>
      <c r="E70" s="7">
        <v>0.61638855225132838</v>
      </c>
      <c r="F70" s="2">
        <v>0.77710450265684716</v>
      </c>
      <c r="G70" s="2">
        <v>0.19487154469370682</v>
      </c>
      <c r="H70" s="4" t="s">
        <v>140</v>
      </c>
      <c r="I70" s="1" t="s">
        <v>139</v>
      </c>
      <c r="J70" s="4" t="s">
        <v>140</v>
      </c>
      <c r="K70" s="5">
        <f t="shared" ref="K70:O70" si="62">B70*100</f>
        <v>97.99571175538361</v>
      </c>
      <c r="L70" s="5">
        <f t="shared" si="62"/>
        <v>84.720797986389485</v>
      </c>
      <c r="M70" s="5">
        <f t="shared" si="62"/>
        <v>66.486436095832943</v>
      </c>
      <c r="N70" s="5">
        <f t="shared" si="62"/>
        <v>61.638855225132836</v>
      </c>
      <c r="O70" s="5">
        <f t="shared" si="62"/>
        <v>77.710450265684713</v>
      </c>
      <c r="P70" s="2">
        <v>0.19487154469370682</v>
      </c>
      <c r="Q70" s="5">
        <v>7</v>
      </c>
    </row>
    <row r="71" spans="1:17" x14ac:dyDescent="0.2">
      <c r="A71" s="1" t="s">
        <v>141</v>
      </c>
      <c r="C71" s="2">
        <v>0.73405109597596885</v>
      </c>
      <c r="D71" s="2">
        <v>1.0143354251553995</v>
      </c>
      <c r="E71" s="2">
        <v>0.62329357880022607</v>
      </c>
      <c r="F71" s="2">
        <v>0.79056003331053148</v>
      </c>
      <c r="G71" s="2">
        <v>0.1059152388993795</v>
      </c>
      <c r="H71" s="4" t="s">
        <v>142</v>
      </c>
      <c r="I71" s="1" t="s">
        <v>141</v>
      </c>
      <c r="J71" s="4" t="s">
        <v>142</v>
      </c>
      <c r="L71" s="5">
        <f t="shared" ref="L71:O71" si="63">C71*100</f>
        <v>73.405109597596891</v>
      </c>
      <c r="M71" s="5">
        <f t="shared" si="63"/>
        <v>101.43354251553995</v>
      </c>
      <c r="N71" s="5">
        <f t="shared" si="63"/>
        <v>62.329357880022606</v>
      </c>
      <c r="O71" s="5">
        <f t="shared" si="63"/>
        <v>79.056003331053148</v>
      </c>
      <c r="P71" s="2">
        <v>0.1059152388993795</v>
      </c>
      <c r="Q71" s="5">
        <v>7</v>
      </c>
    </row>
    <row r="72" spans="1:17" x14ac:dyDescent="0.2">
      <c r="A72" s="1" t="s">
        <v>143</v>
      </c>
      <c r="B72" s="2">
        <v>0.82371585718280971</v>
      </c>
      <c r="C72" s="2">
        <v>0.81663093129486342</v>
      </c>
      <c r="D72" s="2">
        <v>0.84832665237251792</v>
      </c>
      <c r="E72" s="2">
        <v>0.70513657126876106</v>
      </c>
      <c r="F72" s="2">
        <v>0.79845250302973803</v>
      </c>
      <c r="G72" s="2">
        <v>0.20951238866144822</v>
      </c>
      <c r="H72" s="4" t="s">
        <v>144</v>
      </c>
      <c r="I72" s="1" t="s">
        <v>143</v>
      </c>
      <c r="J72" s="4" t="s">
        <v>144</v>
      </c>
      <c r="K72" s="5">
        <f t="shared" ref="K72:O72" si="64">B72*100</f>
        <v>82.371585718280969</v>
      </c>
      <c r="L72" s="5">
        <f t="shared" si="64"/>
        <v>81.663093129486342</v>
      </c>
      <c r="M72" s="5">
        <f t="shared" si="64"/>
        <v>84.832665237251788</v>
      </c>
      <c r="N72" s="5">
        <f t="shared" si="64"/>
        <v>70.513657126876112</v>
      </c>
      <c r="O72" s="5">
        <f t="shared" si="64"/>
        <v>79.845250302973795</v>
      </c>
      <c r="P72" s="2">
        <v>0.20951238866144822</v>
      </c>
      <c r="Q72" s="5">
        <v>7</v>
      </c>
    </row>
    <row r="73" spans="1:17" x14ac:dyDescent="0.2">
      <c r="A73" s="1" t="s">
        <v>145</v>
      </c>
      <c r="C73" s="2">
        <v>0.89813520506795941</v>
      </c>
      <c r="D73" s="2">
        <v>0.92406983314992708</v>
      </c>
      <c r="E73" s="2">
        <v>0.59932189275198522</v>
      </c>
      <c r="F73" s="2">
        <v>0.80717564365662398</v>
      </c>
      <c r="G73" s="2">
        <v>0.10152629467837959</v>
      </c>
      <c r="H73" s="4" t="s">
        <v>146</v>
      </c>
      <c r="I73" s="1" t="s">
        <v>145</v>
      </c>
      <c r="J73" s="4" t="s">
        <v>146</v>
      </c>
      <c r="L73" s="5">
        <f t="shared" ref="L73:O73" si="65">C73*100</f>
        <v>89.813520506795939</v>
      </c>
      <c r="M73" s="5">
        <f t="shared" si="65"/>
        <v>92.406983314992715</v>
      </c>
      <c r="N73" s="5">
        <f t="shared" si="65"/>
        <v>59.932189275198525</v>
      </c>
      <c r="O73" s="5">
        <f t="shared" si="65"/>
        <v>80.717564365662398</v>
      </c>
      <c r="P73" s="2">
        <v>0.10152629467837959</v>
      </c>
      <c r="Q73" s="5">
        <v>7</v>
      </c>
    </row>
    <row r="74" spans="1:17" x14ac:dyDescent="0.2">
      <c r="A74" s="1" t="s">
        <v>147</v>
      </c>
      <c r="C74" s="2">
        <v>0.86146387889242482</v>
      </c>
      <c r="D74" s="2">
        <v>0.94146863753977927</v>
      </c>
      <c r="E74" s="2">
        <v>0.62823067543050892</v>
      </c>
      <c r="F74" s="2">
        <v>0.81038773062090441</v>
      </c>
      <c r="G74" s="2">
        <v>8.8896879269575679E-2</v>
      </c>
      <c r="H74" s="4" t="s">
        <v>148</v>
      </c>
      <c r="I74" s="1" t="s">
        <v>147</v>
      </c>
      <c r="J74" s="4" t="s">
        <v>148</v>
      </c>
      <c r="L74" s="5">
        <f t="shared" ref="L74:O74" si="66">C74*100</f>
        <v>86.146387889242476</v>
      </c>
      <c r="M74" s="5">
        <f t="shared" si="66"/>
        <v>94.146863753977925</v>
      </c>
      <c r="N74" s="5">
        <f t="shared" si="66"/>
        <v>62.82306754305089</v>
      </c>
      <c r="O74" s="5">
        <f t="shared" si="66"/>
        <v>81.038773062090442</v>
      </c>
      <c r="P74" s="2">
        <v>8.8896879269575679E-2</v>
      </c>
      <c r="Q74" s="5">
        <v>7</v>
      </c>
    </row>
    <row r="75" spans="1:17" x14ac:dyDescent="0.2">
      <c r="A75" s="1" t="s">
        <v>149</v>
      </c>
      <c r="C75" s="2">
        <v>0.88594117122208016</v>
      </c>
      <c r="D75" s="2">
        <v>1.0292359396841448</v>
      </c>
      <c r="E75" s="2">
        <v>0.59854861255688074</v>
      </c>
      <c r="F75" s="2">
        <v>0.83790857448770184</v>
      </c>
      <c r="G75" s="2">
        <v>0.16423234588870692</v>
      </c>
      <c r="H75" s="4" t="s">
        <v>150</v>
      </c>
      <c r="I75" s="1" t="s">
        <v>149</v>
      </c>
      <c r="J75" s="4" t="s">
        <v>150</v>
      </c>
      <c r="L75" s="5">
        <f t="shared" ref="L75:O75" si="67">C75*100</f>
        <v>88.594117122208019</v>
      </c>
      <c r="M75" s="5">
        <f t="shared" si="67"/>
        <v>102.92359396841448</v>
      </c>
      <c r="N75" s="5">
        <f t="shared" si="67"/>
        <v>59.854861255688071</v>
      </c>
      <c r="O75" s="5">
        <f t="shared" si="67"/>
        <v>83.790857448770183</v>
      </c>
      <c r="P75" s="2">
        <v>0.16423234588870692</v>
      </c>
      <c r="Q75" s="5">
        <v>7</v>
      </c>
    </row>
    <row r="76" spans="1:17" x14ac:dyDescent="0.2">
      <c r="A76" s="1" t="s">
        <v>151</v>
      </c>
      <c r="C76" s="2">
        <v>1.0685245219046486</v>
      </c>
      <c r="D76" s="2">
        <v>0.89560717366088693</v>
      </c>
      <c r="E76" s="2">
        <v>0.58864467775034945</v>
      </c>
      <c r="F76" s="2">
        <v>0.85092545777196171</v>
      </c>
      <c r="G76" s="2">
        <v>0.19972935088985089</v>
      </c>
      <c r="H76" s="4" t="s">
        <v>152</v>
      </c>
      <c r="I76" s="1" t="s">
        <v>151</v>
      </c>
      <c r="J76" s="4" t="s">
        <v>152</v>
      </c>
      <c r="L76" s="5">
        <f t="shared" ref="L76:O76" si="68">C76*100</f>
        <v>106.85245219046486</v>
      </c>
      <c r="M76" s="5">
        <f t="shared" si="68"/>
        <v>89.560717366088696</v>
      </c>
      <c r="N76" s="5">
        <f t="shared" si="68"/>
        <v>58.864467775034946</v>
      </c>
      <c r="O76" s="5">
        <f t="shared" si="68"/>
        <v>85.092545777196165</v>
      </c>
      <c r="P76" s="2">
        <v>0.19972935088985089</v>
      </c>
      <c r="Q76" s="5">
        <v>7</v>
      </c>
    </row>
    <row r="77" spans="1:17" x14ac:dyDescent="0.2">
      <c r="A77" s="1" t="s">
        <v>153</v>
      </c>
      <c r="C77" s="2">
        <v>1.408619100020819</v>
      </c>
      <c r="D77" s="2">
        <v>0.4991821074859471</v>
      </c>
      <c r="E77" s="2">
        <v>0.66070844362489967</v>
      </c>
      <c r="F77" s="2">
        <v>0.85616988371055525</v>
      </c>
      <c r="G77" s="2">
        <v>0.32947513533712791</v>
      </c>
      <c r="H77" s="4" t="s">
        <v>154</v>
      </c>
      <c r="I77" s="1" t="s">
        <v>153</v>
      </c>
      <c r="J77" s="4" t="s">
        <v>154</v>
      </c>
      <c r="L77" s="5">
        <f t="shared" ref="L77:O77" si="69">C77*100</f>
        <v>140.86191000208191</v>
      </c>
      <c r="M77" s="5">
        <f t="shared" si="69"/>
        <v>49.91821074859471</v>
      </c>
      <c r="N77" s="5">
        <f t="shared" si="69"/>
        <v>66.070844362489964</v>
      </c>
      <c r="O77" s="5">
        <f t="shared" si="69"/>
        <v>85.616988371055527</v>
      </c>
      <c r="P77" s="2">
        <v>0.32947513533712791</v>
      </c>
      <c r="Q77" s="5">
        <v>7</v>
      </c>
    </row>
    <row r="78" spans="1:17" x14ac:dyDescent="0.2">
      <c r="A78" s="1" t="s">
        <v>155</v>
      </c>
      <c r="C78" s="2">
        <v>0.75894476994914195</v>
      </c>
      <c r="D78" s="2">
        <v>1.1622401332421259</v>
      </c>
      <c r="E78" s="2">
        <v>0.70627249204413645</v>
      </c>
      <c r="F78" s="2">
        <v>0.87581913174513482</v>
      </c>
      <c r="G78" s="2">
        <v>0.23994200164584423</v>
      </c>
      <c r="H78" s="4" t="s">
        <v>156</v>
      </c>
      <c r="I78" s="1" t="s">
        <v>155</v>
      </c>
      <c r="J78" s="4" t="s">
        <v>156</v>
      </c>
      <c r="L78" s="5">
        <f t="shared" ref="L78:O78" si="70">C78*100</f>
        <v>75.8944769949142</v>
      </c>
      <c r="M78" s="5">
        <f t="shared" si="70"/>
        <v>116.22401332421259</v>
      </c>
      <c r="N78" s="5">
        <f t="shared" si="70"/>
        <v>70.627249204413644</v>
      </c>
      <c r="O78" s="5">
        <f t="shared" si="70"/>
        <v>87.581913174513488</v>
      </c>
      <c r="P78" s="2">
        <v>0.23994200164584423</v>
      </c>
      <c r="Q78" s="5">
        <v>7</v>
      </c>
    </row>
    <row r="79" spans="1:17" x14ac:dyDescent="0.2">
      <c r="A79" s="1" t="s">
        <v>157</v>
      </c>
      <c r="C79" s="2">
        <v>1.2197900246854831</v>
      </c>
      <c r="D79" s="2">
        <v>0.78386818546828063</v>
      </c>
      <c r="E79" s="2">
        <v>0.68842756446480091</v>
      </c>
      <c r="F79" s="2">
        <v>0.89736192487285493</v>
      </c>
      <c r="G79" s="2">
        <v>0.29749090551560425</v>
      </c>
      <c r="H79" s="4" t="s">
        <v>158</v>
      </c>
      <c r="I79" s="1" t="s">
        <v>157</v>
      </c>
      <c r="J79" s="4" t="s">
        <v>158</v>
      </c>
      <c r="L79" s="5">
        <f t="shared" ref="L79:O79" si="71">C79*100</f>
        <v>121.97900246854832</v>
      </c>
      <c r="M79" s="5">
        <f t="shared" si="71"/>
        <v>78.386818546828067</v>
      </c>
      <c r="N79" s="5">
        <f t="shared" si="71"/>
        <v>68.842756446480095</v>
      </c>
      <c r="O79" s="5">
        <f t="shared" si="71"/>
        <v>89.736192487285493</v>
      </c>
      <c r="P79" s="2">
        <v>0.29749090551560425</v>
      </c>
      <c r="Q79" s="5">
        <v>7</v>
      </c>
    </row>
    <row r="80" spans="1:17" x14ac:dyDescent="0.2">
      <c r="A80" s="1" t="s">
        <v>159</v>
      </c>
      <c r="B80" s="2">
        <v>1.2629812622354806</v>
      </c>
      <c r="C80" s="2">
        <v>0.82520742052764051</v>
      </c>
      <c r="D80" s="2">
        <v>1.0489419222522607</v>
      </c>
      <c r="E80" s="2">
        <v>0.71557751468257669</v>
      </c>
      <c r="F80" s="2">
        <v>0.96317702992448961</v>
      </c>
      <c r="G80" s="2">
        <v>0.44376128974867746</v>
      </c>
      <c r="H80" s="4" t="s">
        <v>160</v>
      </c>
      <c r="I80" s="1" t="s">
        <v>159</v>
      </c>
      <c r="J80" s="4" t="s">
        <v>160</v>
      </c>
      <c r="K80" s="5">
        <f t="shared" ref="K80:O80" si="72">B80*100</f>
        <v>126.29812622354805</v>
      </c>
      <c r="L80" s="5">
        <f t="shared" si="72"/>
        <v>82.520742052764049</v>
      </c>
      <c r="M80" s="5">
        <f t="shared" si="72"/>
        <v>104.89419222522606</v>
      </c>
      <c r="N80" s="5">
        <f t="shared" si="72"/>
        <v>71.557751468257663</v>
      </c>
      <c r="O80" s="5">
        <f t="shared" si="72"/>
        <v>96.317702992448957</v>
      </c>
      <c r="P80" s="2">
        <v>0.44376128974867746</v>
      </c>
      <c r="Q80" s="5">
        <v>7</v>
      </c>
    </row>
    <row r="81" spans="1:17" x14ac:dyDescent="0.2">
      <c r="A81" s="1" t="s">
        <v>161</v>
      </c>
      <c r="C81" s="2">
        <v>0.96353686464622434</v>
      </c>
      <c r="D81" s="2">
        <v>0.88418642001011216</v>
      </c>
      <c r="E81" s="2">
        <v>1.2180055319275496</v>
      </c>
      <c r="F81" s="2">
        <v>1.0219096055279622</v>
      </c>
      <c r="G81" s="2">
        <v>0.42448163118735643</v>
      </c>
      <c r="H81" s="4" t="s">
        <v>162</v>
      </c>
      <c r="I81" s="1" t="s">
        <v>161</v>
      </c>
      <c r="J81" s="4" t="s">
        <v>162</v>
      </c>
      <c r="L81" s="5">
        <f t="shared" ref="L81:O81" si="73">C81*100</f>
        <v>96.353686464622427</v>
      </c>
      <c r="M81" s="5">
        <f t="shared" si="73"/>
        <v>88.418642001011222</v>
      </c>
      <c r="N81" s="5">
        <f t="shared" si="73"/>
        <v>121.80055319275496</v>
      </c>
      <c r="O81" s="5">
        <f t="shared" si="73"/>
        <v>102.19096055279621</v>
      </c>
      <c r="P81" s="2">
        <v>0.42448163118735643</v>
      </c>
      <c r="Q81" s="5">
        <v>7</v>
      </c>
    </row>
    <row r="82" spans="1:17" x14ac:dyDescent="0.2">
      <c r="A82" s="1" t="s">
        <v>163</v>
      </c>
      <c r="C82" s="2">
        <v>1.0594218967562272</v>
      </c>
      <c r="D82" s="2">
        <v>1.2781831777628798</v>
      </c>
      <c r="E82" s="2">
        <v>0.72845650043834775</v>
      </c>
      <c r="F82" s="2">
        <v>1.0220205249858183</v>
      </c>
      <c r="G82" s="2">
        <v>0.4650978334710904</v>
      </c>
      <c r="H82" s="4" t="s">
        <v>164</v>
      </c>
      <c r="I82" s="1" t="s">
        <v>163</v>
      </c>
      <c r="J82" s="4" t="s">
        <v>164</v>
      </c>
      <c r="L82" s="5">
        <f t="shared" ref="L82:O82" si="74">C82*100</f>
        <v>105.94218967562273</v>
      </c>
      <c r="M82" s="5">
        <f t="shared" si="74"/>
        <v>127.81831777628798</v>
      </c>
      <c r="N82" s="5">
        <f t="shared" si="74"/>
        <v>72.84565004383478</v>
      </c>
      <c r="O82" s="5">
        <f t="shared" si="74"/>
        <v>102.20205249858184</v>
      </c>
      <c r="P82" s="2">
        <v>0.4650978334710904</v>
      </c>
      <c r="Q82" s="5">
        <v>4</v>
      </c>
    </row>
    <row r="83" spans="1:17" x14ac:dyDescent="0.2">
      <c r="A83" s="1" t="s">
        <v>165</v>
      </c>
      <c r="B83" s="2">
        <v>1.0489419222522607</v>
      </c>
      <c r="C83" s="2">
        <v>1.1067400018644542</v>
      </c>
      <c r="D83" s="2">
        <v>1.0593828656660762</v>
      </c>
      <c r="E83" s="2">
        <v>1.0664677915540226</v>
      </c>
      <c r="F83" s="2">
        <v>1.0703831453342034</v>
      </c>
      <c r="G83" s="2">
        <v>0.38243671239810489</v>
      </c>
      <c r="H83" s="4" t="s">
        <v>166</v>
      </c>
      <c r="I83" s="1" t="s">
        <v>165</v>
      </c>
      <c r="J83" s="4" t="s">
        <v>166</v>
      </c>
      <c r="K83" s="5">
        <f t="shared" ref="K83:O83" si="75">B83*100</f>
        <v>104.89419222522606</v>
      </c>
      <c r="L83" s="5">
        <f t="shared" si="75"/>
        <v>110.67400018644543</v>
      </c>
      <c r="M83" s="5">
        <f t="shared" si="75"/>
        <v>105.93828656660762</v>
      </c>
      <c r="N83" s="5">
        <f t="shared" si="75"/>
        <v>106.64677915540226</v>
      </c>
      <c r="O83" s="5">
        <f t="shared" si="75"/>
        <v>107.03831453342035</v>
      </c>
      <c r="P83" s="2">
        <v>0.38243671239810489</v>
      </c>
      <c r="Q83" s="5">
        <v>7</v>
      </c>
    </row>
    <row r="84" spans="1:17" x14ac:dyDescent="0.2">
      <c r="A84" s="1" t="s">
        <v>167</v>
      </c>
      <c r="C84" s="2">
        <v>0.88864765190494599</v>
      </c>
      <c r="D84" s="2">
        <v>1.4255420396752223</v>
      </c>
      <c r="E84" s="2">
        <v>0.89733218332688935</v>
      </c>
      <c r="F84" s="2">
        <v>1.0705072916356859</v>
      </c>
      <c r="G84" s="2">
        <v>0.36506481238900762</v>
      </c>
      <c r="H84" s="4" t="s">
        <v>168</v>
      </c>
      <c r="I84" s="1" t="s">
        <v>167</v>
      </c>
      <c r="J84" s="4" t="s">
        <v>168</v>
      </c>
      <c r="L84" s="5">
        <f t="shared" ref="L84:O84" si="76">C84*100</f>
        <v>88.864765190494595</v>
      </c>
      <c r="M84" s="5">
        <f t="shared" si="76"/>
        <v>142.55420396752223</v>
      </c>
      <c r="N84" s="5">
        <f t="shared" si="76"/>
        <v>89.733218332688935</v>
      </c>
      <c r="O84" s="5">
        <f t="shared" si="76"/>
        <v>107.05072916356859</v>
      </c>
      <c r="P84" s="2">
        <v>0.36506481238900762</v>
      </c>
      <c r="Q84" s="5">
        <v>7</v>
      </c>
    </row>
    <row r="85" spans="1:17" x14ac:dyDescent="0.2">
      <c r="A85" s="1" t="s">
        <v>169</v>
      </c>
      <c r="C85" s="2">
        <v>1.2647592421854088</v>
      </c>
      <c r="D85" s="2">
        <v>1.0613865508729143</v>
      </c>
      <c r="E85" s="2">
        <v>0.91407667370549917</v>
      </c>
      <c r="F85" s="2">
        <v>1.0800741555879407</v>
      </c>
      <c r="G85" s="2">
        <v>0.25733999629384624</v>
      </c>
      <c r="H85" s="4" t="s">
        <v>170</v>
      </c>
      <c r="I85" s="1" t="s">
        <v>169</v>
      </c>
      <c r="J85" s="4" t="s">
        <v>170</v>
      </c>
      <c r="L85" s="5">
        <f t="shared" ref="L85:O85" si="77">C85*100</f>
        <v>126.47592421854088</v>
      </c>
      <c r="M85" s="5">
        <f t="shared" si="77"/>
        <v>106.13865508729144</v>
      </c>
      <c r="N85" s="5">
        <f t="shared" si="77"/>
        <v>91.407667370549916</v>
      </c>
      <c r="O85" s="5">
        <f t="shared" si="77"/>
        <v>108.00741555879408</v>
      </c>
      <c r="P85" s="2">
        <v>0.25733999629384624</v>
      </c>
      <c r="Q85" s="5">
        <v>7</v>
      </c>
    </row>
    <row r="86" spans="1:17" x14ac:dyDescent="0.2">
      <c r="A86" s="1" t="s">
        <v>171</v>
      </c>
      <c r="C86" s="2">
        <v>1.5012342741575706</v>
      </c>
      <c r="D86" s="2">
        <v>0.89777830651637269</v>
      </c>
      <c r="E86" s="2">
        <v>0.84385688368081369</v>
      </c>
      <c r="F86" s="2">
        <v>1.0809564881182523</v>
      </c>
      <c r="G86" s="2">
        <v>0.36908891028628321</v>
      </c>
      <c r="H86" s="4" t="s">
        <v>172</v>
      </c>
      <c r="I86" s="1" t="s">
        <v>171</v>
      </c>
      <c r="J86" s="4" t="s">
        <v>172</v>
      </c>
      <c r="L86" s="5">
        <f t="shared" ref="L86:O86" si="78">C86*100</f>
        <v>150.12342741575705</v>
      </c>
      <c r="M86" s="5">
        <f t="shared" si="78"/>
        <v>89.777830651637274</v>
      </c>
      <c r="N86" s="5">
        <f t="shared" si="78"/>
        <v>84.385688368081375</v>
      </c>
      <c r="O86" s="5">
        <f t="shared" si="78"/>
        <v>108.09564881182523</v>
      </c>
      <c r="P86" s="2">
        <v>0.36908891028628321</v>
      </c>
      <c r="Q86" s="5">
        <v>7</v>
      </c>
    </row>
    <row r="87" spans="1:17" ht="12.75" x14ac:dyDescent="0.2">
      <c r="A87" s="1" t="s">
        <v>173</v>
      </c>
      <c r="C87" s="2">
        <v>1.23876513101151</v>
      </c>
      <c r="D87" s="2">
        <v>1.2200874401451387</v>
      </c>
      <c r="E87" s="2">
        <v>0.84602801653629955</v>
      </c>
      <c r="F87" s="2">
        <v>1.1016268625643162</v>
      </c>
      <c r="G87" s="2">
        <v>0.2554755264059303</v>
      </c>
      <c r="H87" s="4" t="s">
        <v>174</v>
      </c>
      <c r="I87" s="1" t="s">
        <v>173</v>
      </c>
      <c r="J87" s="4" t="s">
        <v>174</v>
      </c>
      <c r="L87" s="5">
        <f t="shared" ref="L87:O87" si="79">C87*100</f>
        <v>123.87651310115101</v>
      </c>
      <c r="M87" s="5">
        <f t="shared" si="79"/>
        <v>122.00874401451387</v>
      </c>
      <c r="N87" s="5">
        <f t="shared" si="79"/>
        <v>84.602801653629953</v>
      </c>
      <c r="O87" s="5">
        <f t="shared" si="79"/>
        <v>110.16268625643161</v>
      </c>
      <c r="P87" s="2">
        <v>0.2554755264059303</v>
      </c>
      <c r="Q87" s="5">
        <v>7</v>
      </c>
    </row>
    <row r="88" spans="1:17" ht="12.75" x14ac:dyDescent="0.2">
      <c r="H88" s="4"/>
      <c r="J88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86"/>
  <sheetViews>
    <sheetView workbookViewId="0"/>
  </sheetViews>
  <sheetFormatPr defaultColWidth="12.5703125" defaultRowHeight="15.75" customHeight="1" x14ac:dyDescent="0.2"/>
  <sheetData>
    <row r="1" spans="1:26" x14ac:dyDescent="0.2">
      <c r="A1" s="1" t="s">
        <v>106</v>
      </c>
      <c r="C1" s="6">
        <v>0.8568539392677631</v>
      </c>
      <c r="D1" s="2">
        <v>0.90369687416351907</v>
      </c>
      <c r="E1" s="6">
        <v>0.70936561282455457</v>
      </c>
      <c r="F1" s="2">
        <v>0.82330547541861221</v>
      </c>
      <c r="G1" s="3">
        <v>4.2536525150001642E-2</v>
      </c>
      <c r="H1" s="4" t="s">
        <v>107</v>
      </c>
      <c r="I1" s="1" t="s">
        <v>106</v>
      </c>
    </row>
    <row r="2" spans="1:26" x14ac:dyDescent="0.2">
      <c r="A2" s="1" t="s">
        <v>145</v>
      </c>
      <c r="C2" s="6">
        <v>0.89813520506795941</v>
      </c>
      <c r="D2" s="2">
        <v>0.92406983314992708</v>
      </c>
      <c r="E2" s="6">
        <v>0.59932189275198522</v>
      </c>
      <c r="F2" s="2">
        <v>0.80717564365662398</v>
      </c>
      <c r="G2" s="2">
        <v>0.10152629467837959</v>
      </c>
      <c r="H2" s="4" t="s">
        <v>146</v>
      </c>
      <c r="I2" s="1" t="s">
        <v>145</v>
      </c>
    </row>
    <row r="3" spans="1:26" x14ac:dyDescent="0.2">
      <c r="A3" s="1" t="s">
        <v>147</v>
      </c>
      <c r="C3" s="2">
        <v>0.86146387889242482</v>
      </c>
      <c r="D3" s="2">
        <v>0.94146863753977927</v>
      </c>
      <c r="E3" s="2">
        <v>0.62823067543050892</v>
      </c>
      <c r="F3" s="2">
        <v>0.81038773062090441</v>
      </c>
      <c r="G3" s="2">
        <v>8.8896879269575679E-2</v>
      </c>
      <c r="H3" s="4" t="s">
        <v>148</v>
      </c>
      <c r="I3" s="1" t="s">
        <v>147</v>
      </c>
    </row>
    <row r="4" spans="1:26" x14ac:dyDescent="0.2">
      <c r="A4" s="1" t="s">
        <v>104</v>
      </c>
      <c r="C4" s="7">
        <v>0.83469648752342152</v>
      </c>
      <c r="D4" s="6">
        <v>0.86512208904618859</v>
      </c>
      <c r="E4" s="7">
        <v>0.70680783987151652</v>
      </c>
      <c r="F4" s="2">
        <v>0.80220880548037554</v>
      </c>
      <c r="G4" s="3">
        <v>2.1796239880217849E-2</v>
      </c>
      <c r="H4" s="4" t="s">
        <v>105</v>
      </c>
      <c r="I4" s="1" t="s">
        <v>104</v>
      </c>
    </row>
    <row r="5" spans="1:26" x14ac:dyDescent="0.2">
      <c r="A5" s="9" t="s">
        <v>177</v>
      </c>
      <c r="C5" s="10">
        <v>0.32504535585759747</v>
      </c>
      <c r="D5" s="10">
        <v>0.85964964458852566</v>
      </c>
      <c r="E5" s="10">
        <v>0.63521993873241533</v>
      </c>
      <c r="F5" s="10">
        <v>0.60663831305951288</v>
      </c>
      <c r="G5" s="10">
        <v>6.245277926901225E-2</v>
      </c>
      <c r="H5" s="11" t="s">
        <v>178</v>
      </c>
      <c r="I5" s="9" t="s">
        <v>177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x14ac:dyDescent="0.2">
      <c r="A6" s="1" t="s">
        <v>167</v>
      </c>
      <c r="C6" s="7">
        <v>0.88864765190494599</v>
      </c>
      <c r="D6" s="6">
        <v>1.4255420396752223</v>
      </c>
      <c r="E6" s="7">
        <v>0.89733218332688935</v>
      </c>
      <c r="F6" s="2">
        <v>1.0705072916356859</v>
      </c>
      <c r="G6" s="2">
        <v>0.36506481238900762</v>
      </c>
      <c r="H6" s="4" t="s">
        <v>168</v>
      </c>
      <c r="I6" s="1" t="s">
        <v>167</v>
      </c>
    </row>
    <row r="7" spans="1:26" x14ac:dyDescent="0.2">
      <c r="A7" s="1" t="s">
        <v>94</v>
      </c>
      <c r="C7" s="2">
        <v>0.31859144038307113</v>
      </c>
      <c r="D7" s="2">
        <v>0.68524521904648605</v>
      </c>
      <c r="E7" s="2">
        <v>0.65916188323469049</v>
      </c>
      <c r="F7" s="2">
        <v>0.55433284755474921</v>
      </c>
      <c r="G7" s="3">
        <v>3.0515650144994706E-2</v>
      </c>
      <c r="H7" s="4" t="s">
        <v>95</v>
      </c>
      <c r="I7" s="1" t="s">
        <v>94</v>
      </c>
    </row>
    <row r="8" spans="1:26" x14ac:dyDescent="0.2">
      <c r="A8" s="1" t="s">
        <v>141</v>
      </c>
      <c r="C8" s="7">
        <v>0.73405109597596885</v>
      </c>
      <c r="D8" s="6">
        <v>1.0143354251553995</v>
      </c>
      <c r="E8" s="7">
        <v>0.62329357880022607</v>
      </c>
      <c r="F8" s="2">
        <v>0.79056003331053148</v>
      </c>
      <c r="G8" s="2">
        <v>0.1059152388993795</v>
      </c>
      <c r="H8" s="4" t="s">
        <v>142</v>
      </c>
      <c r="I8" s="1" t="s">
        <v>141</v>
      </c>
    </row>
    <row r="9" spans="1:26" x14ac:dyDescent="0.2">
      <c r="A9" s="1" t="s">
        <v>98</v>
      </c>
      <c r="C9" s="2">
        <v>0.41290188263985961</v>
      </c>
      <c r="D9" s="2">
        <v>0.71061475775510807</v>
      </c>
      <c r="E9" s="2">
        <v>0.69324569491122146</v>
      </c>
      <c r="F9" s="2">
        <v>0.60558744510206308</v>
      </c>
      <c r="G9" s="3">
        <v>2.5660336371461961E-2</v>
      </c>
      <c r="H9" s="4" t="s">
        <v>99</v>
      </c>
      <c r="I9" s="1" t="s">
        <v>98</v>
      </c>
    </row>
    <row r="10" spans="1:26" x14ac:dyDescent="0.2">
      <c r="A10" s="1" t="s">
        <v>155</v>
      </c>
      <c r="C10" s="7">
        <v>0.75894476994914195</v>
      </c>
      <c r="D10" s="2">
        <v>1.1622401332421259</v>
      </c>
      <c r="E10" s="7">
        <v>0.70627249204413645</v>
      </c>
      <c r="F10" s="2">
        <v>0.87581913174513482</v>
      </c>
      <c r="G10" s="2">
        <v>0.23994200164584423</v>
      </c>
      <c r="H10" s="4" t="s">
        <v>156</v>
      </c>
      <c r="I10" s="1" t="s">
        <v>155</v>
      </c>
    </row>
    <row r="11" spans="1:26" x14ac:dyDescent="0.2">
      <c r="A11" s="1" t="s">
        <v>149</v>
      </c>
      <c r="C11" s="6">
        <v>0.88594117122208016</v>
      </c>
      <c r="D11" s="2">
        <v>1.0292359396841448</v>
      </c>
      <c r="E11" s="6">
        <v>0.59854861255688074</v>
      </c>
      <c r="F11" s="2">
        <v>0.83790857448770184</v>
      </c>
      <c r="G11" s="2">
        <v>0.16423234588870692</v>
      </c>
      <c r="H11" s="4" t="s">
        <v>150</v>
      </c>
      <c r="I11" s="1" t="s">
        <v>149</v>
      </c>
    </row>
    <row r="12" spans="1:26" x14ac:dyDescent="0.2">
      <c r="A12" s="1" t="s">
        <v>151</v>
      </c>
      <c r="C12" s="6">
        <v>1.0685245219046486</v>
      </c>
      <c r="D12" s="2">
        <v>0.89560717366088693</v>
      </c>
      <c r="E12" s="6">
        <v>0.58864467775034945</v>
      </c>
      <c r="F12" s="2">
        <v>0.85092545777196171</v>
      </c>
      <c r="G12" s="2">
        <v>0.19972935088985089</v>
      </c>
      <c r="H12" s="4" t="s">
        <v>152</v>
      </c>
      <c r="I12" s="1" t="s">
        <v>151</v>
      </c>
    </row>
    <row r="13" spans="1:26" x14ac:dyDescent="0.2">
      <c r="A13" s="1" t="s">
        <v>157</v>
      </c>
      <c r="C13" s="2">
        <v>1.2197900246854831</v>
      </c>
      <c r="D13" s="2">
        <v>0.78386818546828063</v>
      </c>
      <c r="E13" s="2">
        <v>0.68842756446480091</v>
      </c>
      <c r="F13" s="2">
        <v>0.89736192487285493</v>
      </c>
      <c r="G13" s="2">
        <v>0.29749090551560425</v>
      </c>
      <c r="H13" s="4" t="s">
        <v>158</v>
      </c>
      <c r="I13" s="1" t="s">
        <v>157</v>
      </c>
    </row>
    <row r="14" spans="1:26" x14ac:dyDescent="0.2">
      <c r="A14" s="1" t="s">
        <v>86</v>
      </c>
      <c r="C14" s="6">
        <v>0.32219016744490381</v>
      </c>
      <c r="D14" s="7">
        <v>0.49308509056300748</v>
      </c>
      <c r="E14" s="6">
        <v>0.54138536121107572</v>
      </c>
      <c r="F14" s="2">
        <v>0.45222020640632898</v>
      </c>
      <c r="G14" s="3">
        <v>5.4200056285692568E-3</v>
      </c>
      <c r="H14" s="4" t="s">
        <v>87</v>
      </c>
      <c r="I14" s="1" t="s">
        <v>86</v>
      </c>
    </row>
    <row r="15" spans="1:26" x14ac:dyDescent="0.2">
      <c r="A15" s="1" t="s">
        <v>173</v>
      </c>
      <c r="C15" s="2">
        <v>1.23876513101151</v>
      </c>
      <c r="D15" s="2">
        <v>1.2200874401451387</v>
      </c>
      <c r="E15" s="2">
        <v>0.84602801653629955</v>
      </c>
      <c r="F15" s="2">
        <v>1.1016268625643162</v>
      </c>
      <c r="G15" s="2">
        <v>0.2554755264059303</v>
      </c>
      <c r="H15" s="4" t="s">
        <v>174</v>
      </c>
      <c r="I15" s="1" t="s">
        <v>173</v>
      </c>
    </row>
    <row r="16" spans="1:26" x14ac:dyDescent="0.2">
      <c r="A16" s="1" t="s">
        <v>102</v>
      </c>
      <c r="C16" s="6">
        <v>0.8098028135502483</v>
      </c>
      <c r="D16" s="7">
        <v>0.63266216577937717</v>
      </c>
      <c r="E16" s="6">
        <v>0.50655801088540586</v>
      </c>
      <c r="F16" s="2">
        <v>0.64967433007167708</v>
      </c>
      <c r="G16" s="3">
        <v>2.6639498233306282E-2</v>
      </c>
      <c r="H16" s="4" t="s">
        <v>103</v>
      </c>
      <c r="I16" s="1" t="s">
        <v>102</v>
      </c>
    </row>
    <row r="17" spans="1:9" x14ac:dyDescent="0.2">
      <c r="A17" s="1" t="s">
        <v>100</v>
      </c>
      <c r="C17" s="2">
        <v>0.76474437141242602</v>
      </c>
      <c r="D17" s="2">
        <v>0.49995538768105169</v>
      </c>
      <c r="E17" s="2">
        <v>0.57160277191208397</v>
      </c>
      <c r="F17" s="2">
        <v>0.61210084366852058</v>
      </c>
      <c r="G17" s="3">
        <v>1.7268098359599672E-2</v>
      </c>
      <c r="H17" s="4" t="s">
        <v>101</v>
      </c>
      <c r="I17" s="1" t="s">
        <v>100</v>
      </c>
    </row>
    <row r="18" spans="1:9" x14ac:dyDescent="0.2">
      <c r="A18" s="1" t="s">
        <v>120</v>
      </c>
      <c r="C18" s="6">
        <v>0.94030871724712251</v>
      </c>
      <c r="D18" s="7">
        <v>0.43690331023406598</v>
      </c>
      <c r="E18" s="6">
        <v>0.39577075216369745</v>
      </c>
      <c r="F18" s="2">
        <v>0.59099425988162868</v>
      </c>
      <c r="G18" s="2">
        <v>7.1672412175857556E-2</v>
      </c>
      <c r="H18" s="4" t="s">
        <v>121</v>
      </c>
      <c r="I18" s="1" t="s">
        <v>120</v>
      </c>
    </row>
    <row r="19" spans="1:9" x14ac:dyDescent="0.2">
      <c r="A19" s="1" t="s">
        <v>153</v>
      </c>
      <c r="C19" s="2">
        <v>1.408619100020819</v>
      </c>
      <c r="D19" s="2">
        <v>0.4991821074859471</v>
      </c>
      <c r="E19" s="2">
        <v>0.66070844362489967</v>
      </c>
      <c r="F19" s="2">
        <v>0.85616988371055525</v>
      </c>
      <c r="G19" s="2">
        <v>0.32947513533712791</v>
      </c>
      <c r="H19" s="4" t="s">
        <v>154</v>
      </c>
      <c r="I19" s="1" t="s">
        <v>153</v>
      </c>
    </row>
    <row r="20" spans="1:9" x14ac:dyDescent="0.2">
      <c r="A20" s="1" t="s">
        <v>96</v>
      </c>
      <c r="C20" s="6">
        <v>0.80950539809059274</v>
      </c>
      <c r="D20" s="7">
        <v>0.42875412663950274</v>
      </c>
      <c r="E20" s="6">
        <v>0.52934003509502425</v>
      </c>
      <c r="F20" s="2">
        <v>0.58919985327503988</v>
      </c>
      <c r="G20" s="3">
        <v>3.3110281728280837E-2</v>
      </c>
      <c r="H20" s="4" t="s">
        <v>97</v>
      </c>
      <c r="I20" s="1" t="s">
        <v>96</v>
      </c>
    </row>
    <row r="21" spans="1:9" x14ac:dyDescent="0.2">
      <c r="A21" s="1" t="s">
        <v>135</v>
      </c>
      <c r="C21" s="2">
        <v>1.0693870267376497</v>
      </c>
      <c r="D21" s="2">
        <v>0.63991910299497368</v>
      </c>
      <c r="E21" s="2">
        <v>0.49585105433780446</v>
      </c>
      <c r="F21" s="2">
        <v>0.73505239469014261</v>
      </c>
      <c r="G21" s="2">
        <v>0.1316319538092614</v>
      </c>
      <c r="H21" s="4" t="s">
        <v>136</v>
      </c>
      <c r="I21" s="1" t="s">
        <v>135</v>
      </c>
    </row>
    <row r="22" spans="1:9" x14ac:dyDescent="0.2">
      <c r="A22" s="1" t="s">
        <v>175</v>
      </c>
      <c r="C22" s="2">
        <v>2.4305683609434019</v>
      </c>
      <c r="D22" s="7">
        <v>0.72792433750706365</v>
      </c>
      <c r="E22" s="2">
        <v>0.84822889093775089</v>
      </c>
      <c r="F22" s="2">
        <v>1.3355738631294054</v>
      </c>
      <c r="G22" s="2">
        <v>0.30153161086698643</v>
      </c>
      <c r="H22" s="4" t="s">
        <v>176</v>
      </c>
      <c r="I22" s="1" t="s">
        <v>175</v>
      </c>
    </row>
    <row r="23" spans="1:9" x14ac:dyDescent="0.2">
      <c r="A23" s="1" t="s">
        <v>80</v>
      </c>
      <c r="C23" s="2">
        <v>0.65374892186895872</v>
      </c>
      <c r="D23" s="6">
        <v>0.58775243137138267</v>
      </c>
      <c r="E23" s="2">
        <v>3.3102340659667488E-2</v>
      </c>
      <c r="F23" s="2">
        <v>0.42486789796666968</v>
      </c>
      <c r="G23" s="3">
        <v>4.9428576592332962E-2</v>
      </c>
      <c r="H23" s="4" t="s">
        <v>81</v>
      </c>
      <c r="I23" s="1" t="s">
        <v>80</v>
      </c>
    </row>
    <row r="24" spans="1:9" x14ac:dyDescent="0.2">
      <c r="A24" s="1" t="s">
        <v>161</v>
      </c>
      <c r="C24" s="2">
        <v>0.96353686464622434</v>
      </c>
      <c r="D24" s="6">
        <v>0.88418642001011216</v>
      </c>
      <c r="E24" s="2">
        <v>1.2180055319275496</v>
      </c>
      <c r="F24" s="2">
        <v>1.0219096055279622</v>
      </c>
      <c r="G24" s="2">
        <v>0.42448163118735643</v>
      </c>
      <c r="H24" s="4" t="s">
        <v>162</v>
      </c>
      <c r="I24" s="1" t="s">
        <v>161</v>
      </c>
    </row>
    <row r="25" spans="1:9" x14ac:dyDescent="0.2">
      <c r="A25" s="1" t="s">
        <v>169</v>
      </c>
      <c r="C25" s="2">
        <v>1.2647592421854088</v>
      </c>
      <c r="D25" s="2">
        <v>1.0613865508729143</v>
      </c>
      <c r="E25" s="2">
        <v>0.91407667370549917</v>
      </c>
      <c r="F25" s="2">
        <v>1.0800741555879407</v>
      </c>
      <c r="G25" s="2">
        <v>0.25733999629384624</v>
      </c>
      <c r="H25" s="4" t="s">
        <v>170</v>
      </c>
      <c r="I25" s="1" t="s">
        <v>169</v>
      </c>
    </row>
    <row r="26" spans="1:9" x14ac:dyDescent="0.2">
      <c r="A26" s="1" t="s">
        <v>171</v>
      </c>
      <c r="C26" s="7">
        <v>1.5012342741575706</v>
      </c>
      <c r="D26" s="6">
        <v>0.89777830651637269</v>
      </c>
      <c r="E26" s="7">
        <v>0.84385688368081369</v>
      </c>
      <c r="F26" s="2">
        <v>1.0809564881182523</v>
      </c>
      <c r="G26" s="2">
        <v>0.36908891028628321</v>
      </c>
      <c r="H26" s="4" t="s">
        <v>172</v>
      </c>
      <c r="I26" s="1" t="s">
        <v>171</v>
      </c>
    </row>
    <row r="27" spans="1:9" x14ac:dyDescent="0.2">
      <c r="A27" s="1" t="s">
        <v>21</v>
      </c>
      <c r="C27" s="2">
        <v>4.217351217916307E-2</v>
      </c>
      <c r="D27" s="2">
        <v>0.16128840377122802</v>
      </c>
      <c r="E27" s="2">
        <v>0.20135026618683638</v>
      </c>
      <c r="F27" s="2">
        <v>0.13493739404574251</v>
      </c>
      <c r="G27" s="3">
        <v>6.3344844144849549E-4</v>
      </c>
      <c r="H27" s="4" t="s">
        <v>22</v>
      </c>
      <c r="I27" s="1" t="s">
        <v>21</v>
      </c>
    </row>
    <row r="28" spans="1:9" x14ac:dyDescent="0.2">
      <c r="A28" s="1" t="s">
        <v>122</v>
      </c>
      <c r="C28" s="7">
        <v>0.89884900217113284</v>
      </c>
      <c r="D28" s="6">
        <v>0.40389019421229516</v>
      </c>
      <c r="E28" s="7">
        <v>0.5147666775719002</v>
      </c>
      <c r="F28" s="2">
        <v>0.60583529131844271</v>
      </c>
      <c r="G28" s="2">
        <v>5.8850389663109744E-2</v>
      </c>
      <c r="H28" s="4" t="s">
        <v>123</v>
      </c>
      <c r="I28" s="1" t="s">
        <v>122</v>
      </c>
    </row>
    <row r="29" spans="1:9" x14ac:dyDescent="0.2">
      <c r="A29" s="1" t="s">
        <v>92</v>
      </c>
      <c r="C29" s="2">
        <v>0.2930434523986557</v>
      </c>
      <c r="D29" s="2">
        <v>0.60095767778009102</v>
      </c>
      <c r="E29" s="2">
        <v>0.55634535883175207</v>
      </c>
      <c r="F29" s="2">
        <v>0.48344882967016628</v>
      </c>
      <c r="G29" s="3">
        <v>1.495164589978451E-2</v>
      </c>
      <c r="H29" s="4" t="s">
        <v>93</v>
      </c>
      <c r="I29" s="1" t="s">
        <v>92</v>
      </c>
    </row>
    <row r="30" spans="1:9" x14ac:dyDescent="0.2">
      <c r="A30" s="1" t="s">
        <v>108</v>
      </c>
      <c r="C30" s="7">
        <v>0.80554977247717341</v>
      </c>
      <c r="D30" s="6">
        <v>0.91910299497367876</v>
      </c>
      <c r="E30" s="7">
        <v>0.90435118817476134</v>
      </c>
      <c r="F30" s="2">
        <v>0.87633465187520443</v>
      </c>
      <c r="G30" s="3">
        <v>2.797983034626091E-2</v>
      </c>
      <c r="H30" s="4" t="s">
        <v>109</v>
      </c>
      <c r="I30" s="1" t="s">
        <v>108</v>
      </c>
    </row>
    <row r="31" spans="1:9" x14ac:dyDescent="0.2">
      <c r="A31" s="1" t="s">
        <v>132</v>
      </c>
      <c r="C31" s="2">
        <v>0.35398388008208664</v>
      </c>
      <c r="D31" s="2">
        <v>0.70648068286589538</v>
      </c>
      <c r="E31" s="2">
        <v>1.0041043333432471</v>
      </c>
      <c r="F31" s="2">
        <v>0.6881896320970764</v>
      </c>
      <c r="G31" s="2">
        <v>0.11912507193357658</v>
      </c>
      <c r="H31" s="4" t="s">
        <v>47</v>
      </c>
      <c r="I31" s="1" t="s">
        <v>132</v>
      </c>
    </row>
    <row r="32" spans="1:9" x14ac:dyDescent="0.2">
      <c r="A32" s="1" t="s">
        <v>110</v>
      </c>
      <c r="C32" s="7">
        <v>0.48651220890461888</v>
      </c>
      <c r="D32" s="6">
        <v>0.72515837373226655</v>
      </c>
      <c r="E32" s="7">
        <v>1.9361746423579098E-2</v>
      </c>
      <c r="F32" s="2">
        <v>0.4103441096868215</v>
      </c>
      <c r="G32" s="2">
        <v>5.181866031979402E-2</v>
      </c>
      <c r="H32" s="4" t="s">
        <v>111</v>
      </c>
      <c r="I32" s="1" t="s">
        <v>110</v>
      </c>
    </row>
    <row r="33" spans="1:9" x14ac:dyDescent="0.2">
      <c r="A33" s="1" t="s">
        <v>58</v>
      </c>
      <c r="C33" s="2">
        <v>7.9173327832499613E-2</v>
      </c>
      <c r="D33" s="2">
        <v>0.33591614666597908</v>
      </c>
      <c r="E33" s="2">
        <v>0.42479758650920529</v>
      </c>
      <c r="F33" s="2">
        <v>0.279962353669228</v>
      </c>
      <c r="G33" s="3">
        <v>1.6519807599662303E-2</v>
      </c>
      <c r="H33" s="4" t="s">
        <v>59</v>
      </c>
      <c r="I33" s="1" t="s">
        <v>58</v>
      </c>
    </row>
    <row r="34" spans="1:9" x14ac:dyDescent="0.2">
      <c r="A34" s="1" t="s">
        <v>11</v>
      </c>
      <c r="C34" s="7">
        <v>2.1311433139085144E-2</v>
      </c>
      <c r="D34" s="6">
        <v>2.9781857562786861E-2</v>
      </c>
      <c r="E34" s="7">
        <v>5.4071476458150691E-2</v>
      </c>
      <c r="F34" s="2">
        <v>3.5054922386674237E-2</v>
      </c>
      <c r="G34" s="3">
        <v>1.5294885708713055E-2</v>
      </c>
      <c r="H34" s="4" t="s">
        <v>12</v>
      </c>
      <c r="I34" s="1" t="s">
        <v>11</v>
      </c>
    </row>
    <row r="35" spans="1:9" x14ac:dyDescent="0.2">
      <c r="A35" s="1" t="s">
        <v>42</v>
      </c>
      <c r="C35" s="2">
        <v>0.31638388943324225</v>
      </c>
      <c r="D35" s="2">
        <v>0.18194007529266154</v>
      </c>
      <c r="E35" s="2">
        <v>0.15432417100716828</v>
      </c>
      <c r="F35" s="2">
        <v>0.21754937857769069</v>
      </c>
      <c r="G35" s="3">
        <v>1.8697979303537709E-2</v>
      </c>
      <c r="H35" s="4" t="s">
        <v>43</v>
      </c>
      <c r="I35" s="1" t="s">
        <v>42</v>
      </c>
    </row>
    <row r="36" spans="1:9" x14ac:dyDescent="0.2">
      <c r="A36" s="1" t="s">
        <v>13</v>
      </c>
      <c r="C36" s="7">
        <v>8.5091021607962454E-3</v>
      </c>
      <c r="D36" s="6">
        <v>5.8132638853076173E-2</v>
      </c>
      <c r="E36" s="7">
        <v>4.5407663348976328E-2</v>
      </c>
      <c r="F36" s="2">
        <v>3.7349801454282912E-2</v>
      </c>
      <c r="G36" s="3">
        <v>1.514730427431185E-2</v>
      </c>
      <c r="H36" s="4" t="s">
        <v>14</v>
      </c>
      <c r="I36" s="1" t="s">
        <v>13</v>
      </c>
    </row>
    <row r="37" spans="1:9" x14ac:dyDescent="0.2">
      <c r="A37" s="1" t="s">
        <v>72</v>
      </c>
      <c r="C37" s="2">
        <v>0.56620339332680114</v>
      </c>
      <c r="D37" s="2">
        <v>0.3261693569181579</v>
      </c>
      <c r="E37" s="2">
        <v>0.24312825537620547</v>
      </c>
      <c r="F37" s="2">
        <v>0.37850033520705484</v>
      </c>
      <c r="G37" s="3">
        <v>2.4660928075258697E-2</v>
      </c>
      <c r="H37" s="4" t="s">
        <v>73</v>
      </c>
      <c r="I37" s="1" t="s">
        <v>72</v>
      </c>
    </row>
    <row r="38" spans="1:9" x14ac:dyDescent="0.2">
      <c r="A38" s="1" t="s">
        <v>48</v>
      </c>
      <c r="C38" s="7">
        <v>0.1249290908153267</v>
      </c>
      <c r="D38" s="6">
        <v>0.3778041359393533</v>
      </c>
      <c r="E38" s="7">
        <v>0.21736888247124955</v>
      </c>
      <c r="F38" s="2">
        <v>0.24003403640864318</v>
      </c>
      <c r="G38" s="3">
        <v>1.6741964087471681E-2</v>
      </c>
      <c r="H38" s="4" t="s">
        <v>49</v>
      </c>
      <c r="I38" s="1" t="s">
        <v>48</v>
      </c>
    </row>
    <row r="39" spans="1:9" x14ac:dyDescent="0.2">
      <c r="A39" s="1" t="s">
        <v>74</v>
      </c>
      <c r="C39" s="2">
        <v>0.48343303594451037</v>
      </c>
      <c r="D39" s="2">
        <v>0.42854932700737458</v>
      </c>
      <c r="E39" s="2">
        <v>0.23032592439791658</v>
      </c>
      <c r="F39" s="2">
        <v>0.3807694291166005</v>
      </c>
      <c r="G39" s="3">
        <v>2.6633876555375004E-2</v>
      </c>
      <c r="H39" s="4" t="s">
        <v>75</v>
      </c>
      <c r="I39" s="1" t="s">
        <v>74</v>
      </c>
    </row>
    <row r="40" spans="1:9" x14ac:dyDescent="0.2">
      <c r="A40" s="1" t="s">
        <v>19</v>
      </c>
      <c r="C40" s="7">
        <v>2.3864163787324016E-2</v>
      </c>
      <c r="D40" s="6">
        <v>7.9830849363106596E-2</v>
      </c>
      <c r="E40" s="7">
        <v>8.354391212418133E-2</v>
      </c>
      <c r="F40" s="2">
        <v>6.2412975091537308E-2</v>
      </c>
      <c r="G40" s="3">
        <v>1.5676277574816568E-2</v>
      </c>
      <c r="H40" s="4" t="s">
        <v>20</v>
      </c>
      <c r="I40" s="1" t="s">
        <v>19</v>
      </c>
    </row>
    <row r="41" spans="1:9" x14ac:dyDescent="0.2">
      <c r="A41" s="1" t="s">
        <v>50</v>
      </c>
      <c r="C41" s="2">
        <v>0.31661595585580943</v>
      </c>
      <c r="D41" s="2">
        <v>0.16128616368418339</v>
      </c>
      <c r="E41" s="2">
        <v>0.2435923882213398</v>
      </c>
      <c r="F41" s="2">
        <v>0.24049816925377754</v>
      </c>
      <c r="G41" s="3">
        <v>2.0630895713943193E-2</v>
      </c>
      <c r="H41" s="4" t="s">
        <v>51</v>
      </c>
      <c r="I41" s="1" t="s">
        <v>50</v>
      </c>
    </row>
    <row r="42" spans="1:9" x14ac:dyDescent="0.2">
      <c r="A42" s="1" t="s">
        <v>9</v>
      </c>
      <c r="C42" s="7">
        <v>8.4704244237017168E-3</v>
      </c>
      <c r="D42" s="6">
        <v>6.1923057088339957E-2</v>
      </c>
      <c r="E42" s="7">
        <v>3.4732607910886497E-2</v>
      </c>
      <c r="F42" s="2">
        <v>3.5042029807642719E-2</v>
      </c>
      <c r="G42" s="3">
        <v>1.5048738202846709E-2</v>
      </c>
      <c r="H42" s="4" t="s">
        <v>10</v>
      </c>
      <c r="I42" s="1" t="s">
        <v>9</v>
      </c>
    </row>
    <row r="43" spans="1:9" x14ac:dyDescent="0.2">
      <c r="A43" s="1" t="s">
        <v>64</v>
      </c>
      <c r="C43" s="2">
        <v>0.40012119024289622</v>
      </c>
      <c r="D43" s="2">
        <v>0.33297663864679494</v>
      </c>
      <c r="E43" s="2">
        <v>0.26064927028002682</v>
      </c>
      <c r="F43" s="2">
        <v>0.33124903305657261</v>
      </c>
      <c r="G43" s="3">
        <v>2.7420745425815626E-2</v>
      </c>
      <c r="H43" s="4" t="s">
        <v>65</v>
      </c>
      <c r="I43" s="1" t="s">
        <v>64</v>
      </c>
    </row>
    <row r="44" spans="1:9" x14ac:dyDescent="0.2">
      <c r="A44" s="1" t="s">
        <v>163</v>
      </c>
      <c r="C44" s="7">
        <v>1.0594218967562272</v>
      </c>
      <c r="D44" s="6">
        <v>1.2781831777628798</v>
      </c>
      <c r="E44" s="6">
        <v>0.72845650043834775</v>
      </c>
      <c r="F44" s="2">
        <v>1.0220205249858183</v>
      </c>
      <c r="G44" s="2">
        <v>0.4650978334710904</v>
      </c>
      <c r="H44" s="4" t="s">
        <v>164</v>
      </c>
      <c r="I44" s="1" t="s">
        <v>163</v>
      </c>
    </row>
    <row r="45" spans="1:9" x14ac:dyDescent="0.2">
      <c r="A45" s="1" t="s">
        <v>76</v>
      </c>
      <c r="C45" s="2">
        <v>0.39745242638337375</v>
      </c>
      <c r="D45" s="2">
        <v>0.509540508483317</v>
      </c>
      <c r="E45" s="2">
        <v>0.3342143262338198</v>
      </c>
      <c r="F45" s="2">
        <v>0.41373575370017018</v>
      </c>
      <c r="G45" s="3">
        <v>3.3792915849940049E-2</v>
      </c>
      <c r="H45" s="4" t="s">
        <v>77</v>
      </c>
      <c r="I45" s="1" t="s">
        <v>76</v>
      </c>
    </row>
    <row r="46" spans="1:9" x14ac:dyDescent="0.2">
      <c r="A46" s="1" t="s">
        <v>15</v>
      </c>
      <c r="C46" s="7">
        <v>6.695116291062865E-2</v>
      </c>
      <c r="D46" s="6">
        <v>5.2408333763085971E-2</v>
      </c>
      <c r="E46" s="6">
        <v>2.6068794801712137E-2</v>
      </c>
      <c r="F46" s="2">
        <v>4.8476097158475583E-2</v>
      </c>
      <c r="G46" s="3">
        <v>1.5628549101484632E-2</v>
      </c>
      <c r="H46" s="4" t="s">
        <v>16</v>
      </c>
      <c r="I46" s="1" t="s">
        <v>15</v>
      </c>
    </row>
    <row r="47" spans="1:9" x14ac:dyDescent="0.2">
      <c r="A47" s="1" t="s">
        <v>35</v>
      </c>
      <c r="C47" s="2">
        <v>0.18286834098293023</v>
      </c>
      <c r="D47" s="2">
        <v>0.20545613944613481</v>
      </c>
      <c r="E47" s="2">
        <v>0.13947191996286937</v>
      </c>
      <c r="F47" s="2">
        <v>0.17593213346397812</v>
      </c>
      <c r="G47" s="3">
        <v>2.0112831781392147E-2</v>
      </c>
      <c r="H47" s="4" t="s">
        <v>36</v>
      </c>
      <c r="I47" s="1" t="s">
        <v>35</v>
      </c>
    </row>
    <row r="48" spans="1:9" x14ac:dyDescent="0.2">
      <c r="A48" s="1" t="s">
        <v>17</v>
      </c>
      <c r="C48" s="7">
        <v>4.2236088907225001E-2</v>
      </c>
      <c r="D48" s="6">
        <v>6.2541900881852408E-2</v>
      </c>
      <c r="E48" s="6">
        <v>6.5984219483265438E-2</v>
      </c>
      <c r="F48" s="2">
        <v>5.6920736424114278E-2</v>
      </c>
      <c r="G48" s="3">
        <v>1.6056726718572192E-2</v>
      </c>
      <c r="H48" s="4" t="s">
        <v>18</v>
      </c>
      <c r="I48" s="1" t="s">
        <v>17</v>
      </c>
    </row>
    <row r="49" spans="1:26" x14ac:dyDescent="0.2">
      <c r="A49" s="9" t="s">
        <v>179</v>
      </c>
      <c r="C49" s="10">
        <v>0.42441080913826001</v>
      </c>
      <c r="D49" s="10">
        <v>0.3701072662575422</v>
      </c>
      <c r="E49" s="10">
        <v>7.3565055953792993E-2</v>
      </c>
      <c r="F49" s="10">
        <v>0.28936104378319838</v>
      </c>
      <c r="G49" s="10">
        <v>1.6940360354350016E-2</v>
      </c>
      <c r="H49" s="11" t="s">
        <v>180</v>
      </c>
      <c r="I49" s="9" t="s">
        <v>179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x14ac:dyDescent="0.2">
      <c r="A50" s="1" t="s">
        <v>70</v>
      </c>
      <c r="C50" s="7">
        <v>0.4577510185137435</v>
      </c>
      <c r="D50" s="6">
        <v>0.35904543344850703</v>
      </c>
      <c r="E50" s="6">
        <v>0.30396833582589861</v>
      </c>
      <c r="F50" s="2">
        <v>0.37358826259604971</v>
      </c>
      <c r="G50" s="3">
        <v>3.0495496633143212E-2</v>
      </c>
      <c r="H50" s="4" t="s">
        <v>71</v>
      </c>
      <c r="I50" s="1" t="s">
        <v>70</v>
      </c>
    </row>
    <row r="51" spans="1:26" x14ac:dyDescent="0.2">
      <c r="A51" s="1" t="s">
        <v>88</v>
      </c>
      <c r="C51" s="2">
        <v>0.43740652880202158</v>
      </c>
      <c r="D51" s="2">
        <v>0.39857408075911505</v>
      </c>
      <c r="E51" s="2">
        <v>0.52265226135836218</v>
      </c>
      <c r="F51" s="2">
        <v>0.45287762363983292</v>
      </c>
      <c r="G51" s="3">
        <v>4.0974156330320755E-2</v>
      </c>
      <c r="H51" s="4" t="s">
        <v>89</v>
      </c>
      <c r="I51" s="1" t="s">
        <v>88</v>
      </c>
    </row>
    <row r="52" spans="1:26" x14ac:dyDescent="0.2">
      <c r="A52" s="1" t="s">
        <v>25</v>
      </c>
      <c r="C52" s="7">
        <v>8.520705481924605E-2</v>
      </c>
      <c r="D52" s="6">
        <v>0.32644010107781962</v>
      </c>
      <c r="E52" s="6">
        <v>2.355474189056779E-2</v>
      </c>
      <c r="F52" s="2">
        <v>0.14506729926254447</v>
      </c>
      <c r="G52" s="3">
        <v>1.090291879780117E-2</v>
      </c>
      <c r="H52" s="4" t="s">
        <v>26</v>
      </c>
      <c r="I52" s="1" t="s">
        <v>25</v>
      </c>
    </row>
    <row r="53" spans="1:26" x14ac:dyDescent="0.2">
      <c r="A53" s="1" t="s">
        <v>46</v>
      </c>
      <c r="C53" s="2">
        <v>0.15768913413439226</v>
      </c>
      <c r="D53" s="2">
        <v>0.27221391367129083</v>
      </c>
      <c r="E53" s="2">
        <v>0.28397194574802742</v>
      </c>
      <c r="F53" s="2">
        <v>0.23795833118457019</v>
      </c>
      <c r="G53" s="3">
        <v>2.1098613963317327E-2</v>
      </c>
      <c r="H53" s="4" t="s">
        <v>47</v>
      </c>
      <c r="I53" s="1" t="s">
        <v>46</v>
      </c>
    </row>
    <row r="54" spans="1:26" x14ac:dyDescent="0.2">
      <c r="A54" s="1" t="s">
        <v>23</v>
      </c>
      <c r="C54" s="7">
        <v>5.0513124645454079E-2</v>
      </c>
      <c r="D54" s="6">
        <v>0.26370481151049457</v>
      </c>
      <c r="E54" s="6">
        <v>0.10330823577948534</v>
      </c>
      <c r="F54" s="2">
        <v>0.13917539064514467</v>
      </c>
      <c r="G54" s="3">
        <v>1.3490601707253962E-2</v>
      </c>
      <c r="H54" s="4" t="s">
        <v>24</v>
      </c>
      <c r="I54" s="1" t="s">
        <v>23</v>
      </c>
    </row>
    <row r="55" spans="1:26" x14ac:dyDescent="0.2">
      <c r="A55" s="1" t="s">
        <v>112</v>
      </c>
      <c r="C55" s="2">
        <v>0.90529111443453147</v>
      </c>
      <c r="D55" s="2">
        <v>0.50265587128049094</v>
      </c>
      <c r="E55" s="2">
        <v>0.24974214841936981</v>
      </c>
      <c r="F55" s="2">
        <v>0.55256304471146411</v>
      </c>
      <c r="G55" s="2">
        <v>7.9340138064432533E-2</v>
      </c>
      <c r="H55" s="4" t="s">
        <v>113</v>
      </c>
      <c r="I55" s="1" t="s">
        <v>112</v>
      </c>
    </row>
    <row r="56" spans="1:26" x14ac:dyDescent="0.2">
      <c r="A56" s="1" t="s">
        <v>44</v>
      </c>
      <c r="C56" s="7">
        <v>0.29012170594605746</v>
      </c>
      <c r="D56" s="6">
        <v>0.24053684699087205</v>
      </c>
      <c r="E56" s="7">
        <v>0.18155329792171626</v>
      </c>
      <c r="F56" s="2">
        <v>0.23740395028621528</v>
      </c>
      <c r="G56" s="3">
        <v>2.2157157655176261E-2</v>
      </c>
      <c r="H56" s="4" t="s">
        <v>45</v>
      </c>
      <c r="I56" s="1" t="s">
        <v>44</v>
      </c>
    </row>
    <row r="57" spans="1:26" x14ac:dyDescent="0.2">
      <c r="A57" s="1" t="s">
        <v>90</v>
      </c>
      <c r="C57" s="2">
        <v>0.63056314785209633</v>
      </c>
      <c r="D57" s="2">
        <v>0.33850755505131247</v>
      </c>
      <c r="E57" s="2">
        <v>0.46316590170697747</v>
      </c>
      <c r="F57" s="2">
        <v>0.47741220153679542</v>
      </c>
      <c r="G57" s="3">
        <v>3.8182330970743084E-2</v>
      </c>
      <c r="H57" s="4" t="s">
        <v>91</v>
      </c>
      <c r="I57" s="1" t="s">
        <v>90</v>
      </c>
    </row>
    <row r="58" spans="1:26" x14ac:dyDescent="0.2">
      <c r="A58" s="1" t="s">
        <v>54</v>
      </c>
      <c r="C58" s="7">
        <v>0.32141199525553094</v>
      </c>
      <c r="D58" s="6">
        <v>0.26645093084420607</v>
      </c>
      <c r="E58" s="7">
        <v>0.16132484142127793</v>
      </c>
      <c r="F58" s="2">
        <v>0.24972925584033831</v>
      </c>
      <c r="G58" s="3">
        <v>2.0870699209598147E-2</v>
      </c>
      <c r="H58" s="4" t="s">
        <v>55</v>
      </c>
      <c r="I58" s="1" t="s">
        <v>54</v>
      </c>
    </row>
    <row r="59" spans="1:26" x14ac:dyDescent="0.2">
      <c r="A59" s="1" t="s">
        <v>56</v>
      </c>
      <c r="C59" s="2">
        <v>0.34620442473312363</v>
      </c>
      <c r="D59" s="2">
        <v>0.31019545149811767</v>
      </c>
      <c r="E59" s="2">
        <v>0.10245732556340571</v>
      </c>
      <c r="F59" s="2">
        <v>0.25295240059821567</v>
      </c>
      <c r="G59" s="3">
        <v>1.7197516127414898E-2</v>
      </c>
      <c r="H59" s="4" t="s">
        <v>57</v>
      </c>
      <c r="I59" s="1" t="s">
        <v>56</v>
      </c>
    </row>
    <row r="60" spans="1:26" x14ac:dyDescent="0.2">
      <c r="A60" s="1" t="s">
        <v>62</v>
      </c>
      <c r="C60" s="7">
        <v>0.41949873652725495</v>
      </c>
      <c r="D60" s="6">
        <v>0.33792738899489455</v>
      </c>
      <c r="E60" s="7">
        <v>0.17675725852199475</v>
      </c>
      <c r="F60" s="2">
        <v>0.3113944613480481</v>
      </c>
      <c r="G60" s="3">
        <v>2.1462628760560629E-2</v>
      </c>
      <c r="H60" s="4" t="s">
        <v>63</v>
      </c>
      <c r="I60" s="1" t="s">
        <v>62</v>
      </c>
    </row>
    <row r="61" spans="1:26" x14ac:dyDescent="0.2">
      <c r="A61" s="1" t="s">
        <v>52</v>
      </c>
      <c r="C61" s="2">
        <v>0.41137641173740397</v>
      </c>
      <c r="D61" s="2">
        <v>0.32013562993141148</v>
      </c>
      <c r="E61" s="2">
        <v>1.1448610179980404E-2</v>
      </c>
      <c r="F61" s="2">
        <v>0.24765355061626529</v>
      </c>
      <c r="G61" s="3">
        <v>1.4320912962714864E-2</v>
      </c>
      <c r="H61" s="4" t="s">
        <v>53</v>
      </c>
      <c r="I61" s="1" t="s">
        <v>52</v>
      </c>
    </row>
    <row r="62" spans="1:26" x14ac:dyDescent="0.2">
      <c r="A62" s="1" t="s">
        <v>29</v>
      </c>
      <c r="C62" s="7">
        <v>0.26157753597029548</v>
      </c>
      <c r="D62" s="6">
        <v>0.24374709916971793</v>
      </c>
      <c r="E62" s="7">
        <v>1.3769274405652107E-2</v>
      </c>
      <c r="F62" s="2">
        <v>0.1730313031818885</v>
      </c>
      <c r="G62" s="3">
        <v>1.3025166798942079E-2</v>
      </c>
      <c r="H62" s="4" t="s">
        <v>30</v>
      </c>
      <c r="I62" s="1" t="s">
        <v>29</v>
      </c>
    </row>
    <row r="63" spans="1:26" x14ac:dyDescent="0.2">
      <c r="A63" s="1" t="s">
        <v>31</v>
      </c>
      <c r="C63" s="2">
        <v>0.27871177350317161</v>
      </c>
      <c r="D63" s="2">
        <v>0.23117683461399618</v>
      </c>
      <c r="E63" s="2">
        <v>9.9015006961992672E-3</v>
      </c>
      <c r="F63" s="2">
        <v>0.17326336960445568</v>
      </c>
      <c r="G63" s="3">
        <v>1.2739573403717768E-2</v>
      </c>
      <c r="H63" s="4" t="s">
        <v>32</v>
      </c>
      <c r="I63" s="1" t="s">
        <v>31</v>
      </c>
    </row>
    <row r="64" spans="1:26" x14ac:dyDescent="0.2">
      <c r="A64" s="1" t="s">
        <v>133</v>
      </c>
      <c r="B64" s="2">
        <v>1.01500885615736</v>
      </c>
      <c r="C64" s="2">
        <v>0.46275752773375595</v>
      </c>
      <c r="D64" s="2">
        <v>1.0459587955625991</v>
      </c>
      <c r="E64" s="2">
        <v>0.37811130791460801</v>
      </c>
      <c r="F64" s="2">
        <v>0.72545912184208072</v>
      </c>
      <c r="G64" s="2">
        <v>0.18166562880646397</v>
      </c>
      <c r="H64" s="4" t="s">
        <v>134</v>
      </c>
      <c r="I64" s="1" t="s">
        <v>133</v>
      </c>
    </row>
    <row r="65" spans="1:9" x14ac:dyDescent="0.2">
      <c r="A65" s="1" t="s">
        <v>165</v>
      </c>
      <c r="B65" s="2">
        <v>1.0489419222522607</v>
      </c>
      <c r="C65" s="2">
        <v>1.1067400018644542</v>
      </c>
      <c r="D65" s="2">
        <v>1.0593828656660762</v>
      </c>
      <c r="E65" s="2">
        <v>1.0664677915540226</v>
      </c>
      <c r="F65" s="2">
        <v>1.0703831453342034</v>
      </c>
      <c r="G65" s="2">
        <v>0.38243671239810489</v>
      </c>
      <c r="H65" s="4" t="s">
        <v>166</v>
      </c>
      <c r="I65" s="1" t="s">
        <v>165</v>
      </c>
    </row>
    <row r="66" spans="1:9" x14ac:dyDescent="0.2">
      <c r="A66" s="1" t="s">
        <v>159</v>
      </c>
      <c r="B66" s="2">
        <v>1.2629812622354806</v>
      </c>
      <c r="C66" s="2">
        <v>0.82520742052764051</v>
      </c>
      <c r="D66" s="2">
        <v>1.0489419222522607</v>
      </c>
      <c r="E66" s="2">
        <v>0.71557751468257669</v>
      </c>
      <c r="F66" s="2">
        <v>0.96317702992448961</v>
      </c>
      <c r="G66" s="2">
        <v>0.44376128974867746</v>
      </c>
      <c r="H66" s="4" t="s">
        <v>160</v>
      </c>
      <c r="I66" s="1" t="s">
        <v>159</v>
      </c>
    </row>
    <row r="67" spans="1:9" x14ac:dyDescent="0.2">
      <c r="A67" s="1" t="s">
        <v>137</v>
      </c>
      <c r="B67" s="2">
        <v>0.90239582362263449</v>
      </c>
      <c r="C67" s="2">
        <v>0.89456511606227274</v>
      </c>
      <c r="D67" s="2">
        <v>0.69767875454460704</v>
      </c>
      <c r="E67" s="2">
        <v>0.46723221776824836</v>
      </c>
      <c r="F67" s="2">
        <v>0.74046797799944064</v>
      </c>
      <c r="G67" s="2">
        <v>0.16638731276311264</v>
      </c>
      <c r="H67" s="4" t="s">
        <v>138</v>
      </c>
      <c r="I67" s="1" t="s">
        <v>137</v>
      </c>
    </row>
    <row r="68" spans="1:9" x14ac:dyDescent="0.2">
      <c r="A68" s="1" t="s">
        <v>128</v>
      </c>
      <c r="B68" s="2">
        <v>0.39153537801808519</v>
      </c>
      <c r="C68" s="2">
        <v>0.79686771697585534</v>
      </c>
      <c r="D68" s="2">
        <v>0.6682203784841988</v>
      </c>
      <c r="E68" s="2">
        <v>0.77561293931201636</v>
      </c>
      <c r="F68" s="2">
        <v>0.65805910319753891</v>
      </c>
      <c r="G68" s="2">
        <v>0.10816410932388379</v>
      </c>
      <c r="H68" s="4" t="s">
        <v>129</v>
      </c>
      <c r="I68" s="1" t="s">
        <v>128</v>
      </c>
    </row>
    <row r="69" spans="1:9" x14ac:dyDescent="0.2">
      <c r="A69" s="1" t="s">
        <v>124</v>
      </c>
      <c r="B69" s="2">
        <v>0.36916192784562318</v>
      </c>
      <c r="C69" s="2">
        <v>0.60259159131164353</v>
      </c>
      <c r="D69" s="2">
        <v>0.68910226531182994</v>
      </c>
      <c r="E69" s="2">
        <v>0.79873217115689377</v>
      </c>
      <c r="F69" s="2">
        <v>0.61489698890649758</v>
      </c>
      <c r="G69" s="2">
        <v>8.6646443113335248E-2</v>
      </c>
      <c r="H69" s="4" t="s">
        <v>125</v>
      </c>
      <c r="I69" s="1" t="s">
        <v>124</v>
      </c>
    </row>
    <row r="70" spans="1:9" x14ac:dyDescent="0.2">
      <c r="A70" s="1" t="s">
        <v>130</v>
      </c>
      <c r="B70" s="2">
        <v>0.59177775706162017</v>
      </c>
      <c r="C70" s="2">
        <v>0.76629066840682392</v>
      </c>
      <c r="D70" s="2">
        <v>0.68500046611354526</v>
      </c>
      <c r="E70" s="2">
        <v>0.60743917218234367</v>
      </c>
      <c r="F70" s="2">
        <v>0.6626270159410832</v>
      </c>
      <c r="G70" s="2">
        <v>0.1071716765994382</v>
      </c>
      <c r="H70" s="4" t="s">
        <v>131</v>
      </c>
      <c r="I70" s="1" t="s">
        <v>130</v>
      </c>
    </row>
    <row r="71" spans="1:9" x14ac:dyDescent="0.2">
      <c r="A71" s="1" t="s">
        <v>143</v>
      </c>
      <c r="B71" s="2">
        <v>0.82371585718280971</v>
      </c>
      <c r="C71" s="2">
        <v>0.81663093129486342</v>
      </c>
      <c r="D71" s="2">
        <v>0.84832665237251792</v>
      </c>
      <c r="E71" s="2">
        <v>0.70513657126876106</v>
      </c>
      <c r="F71" s="2">
        <v>0.79845250302973803</v>
      </c>
      <c r="G71" s="2">
        <v>0.20951238866144822</v>
      </c>
      <c r="H71" s="4" t="s">
        <v>144</v>
      </c>
      <c r="I71" s="1" t="s">
        <v>143</v>
      </c>
    </row>
    <row r="72" spans="1:9" x14ac:dyDescent="0.2">
      <c r="A72" s="1" t="s">
        <v>82</v>
      </c>
      <c r="B72" s="2">
        <v>0.37028060035424631</v>
      </c>
      <c r="C72" s="2">
        <v>0.36133122028526149</v>
      </c>
      <c r="D72" s="2">
        <v>0.51235200894938004</v>
      </c>
      <c r="E72" s="2">
        <v>0.47319847114757158</v>
      </c>
      <c r="F72" s="2">
        <v>0.42929057518411484</v>
      </c>
      <c r="G72" s="3">
        <v>3.7212956414630474E-2</v>
      </c>
      <c r="H72" s="4" t="s">
        <v>83</v>
      </c>
      <c r="I72" s="1" t="s">
        <v>82</v>
      </c>
    </row>
    <row r="73" spans="1:9" x14ac:dyDescent="0.2">
      <c r="A73" s="1" t="s">
        <v>78</v>
      </c>
      <c r="B73" s="2">
        <v>0.32068611913862216</v>
      </c>
      <c r="C73" s="2">
        <v>0.48699543208725643</v>
      </c>
      <c r="D73" s="2">
        <v>0.36244989279388456</v>
      </c>
      <c r="E73" s="2">
        <v>0.50079239302694134</v>
      </c>
      <c r="F73" s="2">
        <v>0.41773095926167614</v>
      </c>
      <c r="G73" s="3">
        <v>3.5115094266865182E-2</v>
      </c>
      <c r="H73" s="4" t="s">
        <v>79</v>
      </c>
      <c r="I73" s="1" t="s">
        <v>78</v>
      </c>
    </row>
    <row r="74" spans="1:9" x14ac:dyDescent="0.2">
      <c r="A74" s="1" t="s">
        <v>118</v>
      </c>
      <c r="B74" s="2">
        <v>0.46201174606134054</v>
      </c>
      <c r="C74" s="2">
        <v>0.66374568844970638</v>
      </c>
      <c r="D74" s="2">
        <v>0.59811690127715111</v>
      </c>
      <c r="E74" s="2">
        <v>0.62757527733755947</v>
      </c>
      <c r="F74" s="2">
        <v>0.58786240328143935</v>
      </c>
      <c r="G74" s="2">
        <v>7.4747355792668335E-2</v>
      </c>
      <c r="H74" s="4" t="s">
        <v>119</v>
      </c>
      <c r="I74" s="1" t="s">
        <v>118</v>
      </c>
    </row>
    <row r="75" spans="1:9" x14ac:dyDescent="0.2">
      <c r="A75" s="1" t="s">
        <v>126</v>
      </c>
      <c r="B75" s="2">
        <v>0.563438053509835</v>
      </c>
      <c r="C75" s="2">
        <v>0.68947515614803767</v>
      </c>
      <c r="D75" s="2">
        <v>0.72825580311363847</v>
      </c>
      <c r="E75" s="2">
        <v>0.64621981914794446</v>
      </c>
      <c r="F75" s="2">
        <v>0.65684720797986385</v>
      </c>
      <c r="G75" s="2">
        <v>0.10414824712177018</v>
      </c>
      <c r="H75" s="4" t="s">
        <v>127</v>
      </c>
      <c r="I75" s="1" t="s">
        <v>126</v>
      </c>
    </row>
    <row r="76" spans="1:9" x14ac:dyDescent="0.2">
      <c r="A76" s="1" t="s">
        <v>38</v>
      </c>
      <c r="B76" s="2">
        <v>0.23007364594015103</v>
      </c>
      <c r="C76" s="2">
        <v>0.24797240607812063</v>
      </c>
      <c r="D76" s="2">
        <v>4.5492682017339421E-2</v>
      </c>
      <c r="E76" s="2">
        <v>0.26027780367297476</v>
      </c>
      <c r="F76" s="2">
        <v>0.19595413442714646</v>
      </c>
      <c r="G76" s="3">
        <v>1.4947036775603219E-2</v>
      </c>
      <c r="H76" s="4" t="s">
        <v>39</v>
      </c>
      <c r="I76" s="1" t="s">
        <v>38</v>
      </c>
    </row>
    <row r="77" spans="1:9" x14ac:dyDescent="0.2">
      <c r="A77" s="1" t="s">
        <v>84</v>
      </c>
      <c r="B77" s="2">
        <v>0.45306236599235572</v>
      </c>
      <c r="C77" s="2">
        <v>0.44299431341474782</v>
      </c>
      <c r="D77" s="2">
        <v>0.47058823529411764</v>
      </c>
      <c r="E77" s="2">
        <v>0.41502750069917033</v>
      </c>
      <c r="F77" s="2">
        <v>0.44541810385009789</v>
      </c>
      <c r="G77" s="3">
        <v>4.0686842269605325E-2</v>
      </c>
      <c r="H77" s="4" t="s">
        <v>85</v>
      </c>
      <c r="I77" s="1" t="s">
        <v>84</v>
      </c>
    </row>
    <row r="78" spans="1:9" x14ac:dyDescent="0.2">
      <c r="A78" s="1" t="s">
        <v>139</v>
      </c>
      <c r="B78" s="2">
        <v>0.97995711755383608</v>
      </c>
      <c r="C78" s="2">
        <v>0.84720797986389484</v>
      </c>
      <c r="D78" s="2">
        <v>0.66486436095832946</v>
      </c>
      <c r="E78" s="2">
        <v>0.61638855225132838</v>
      </c>
      <c r="F78" s="2">
        <v>0.77710450265684716</v>
      </c>
      <c r="G78" s="2">
        <v>0.19487154469370682</v>
      </c>
      <c r="H78" s="4" t="s">
        <v>140</v>
      </c>
      <c r="I78" s="1" t="s">
        <v>139</v>
      </c>
    </row>
    <row r="79" spans="1:9" x14ac:dyDescent="0.2">
      <c r="A79" s="1" t="s">
        <v>116</v>
      </c>
      <c r="B79" s="2">
        <v>0.58804884869954321</v>
      </c>
      <c r="C79" s="2">
        <v>0.60072713713060499</v>
      </c>
      <c r="D79" s="2">
        <v>0.46163885522513282</v>
      </c>
      <c r="E79" s="2">
        <v>0.61004940803579755</v>
      </c>
      <c r="F79" s="2">
        <v>0.56511606227276967</v>
      </c>
      <c r="G79" s="2">
        <v>6.7428422736044713E-2</v>
      </c>
      <c r="H79" s="4" t="s">
        <v>117</v>
      </c>
      <c r="I79" s="1" t="s">
        <v>116</v>
      </c>
    </row>
    <row r="80" spans="1:9" x14ac:dyDescent="0.2">
      <c r="A80" s="1" t="s">
        <v>40</v>
      </c>
      <c r="B80" s="2">
        <v>0.14319008110375689</v>
      </c>
      <c r="C80" s="2">
        <v>0.24275193437121284</v>
      </c>
      <c r="D80" s="2">
        <v>0.36767036450079238</v>
      </c>
      <c r="E80" s="2">
        <v>4.1763773655262425E-2</v>
      </c>
      <c r="F80" s="2">
        <v>0.19884403840775614</v>
      </c>
      <c r="G80" s="3">
        <v>1.4019444521078178E-2</v>
      </c>
      <c r="H80" s="4" t="s">
        <v>41</v>
      </c>
      <c r="I80" s="1" t="s">
        <v>40</v>
      </c>
    </row>
    <row r="81" spans="1:9" x14ac:dyDescent="0.2">
      <c r="A81" s="1" t="s">
        <v>66</v>
      </c>
      <c r="B81" s="2">
        <v>0.25468444112985922</v>
      </c>
      <c r="C81" s="2">
        <v>0.28861750722475993</v>
      </c>
      <c r="D81" s="2">
        <v>0.42882446163885524</v>
      </c>
      <c r="E81" s="2">
        <v>0.37289083620770019</v>
      </c>
      <c r="F81" s="2">
        <v>0.33625431155029367</v>
      </c>
      <c r="G81" s="3">
        <v>2.5651513240633261E-2</v>
      </c>
      <c r="H81" s="4" t="s">
        <v>67</v>
      </c>
      <c r="I81" s="1" t="s">
        <v>66</v>
      </c>
    </row>
    <row r="82" spans="1:9" x14ac:dyDescent="0.2">
      <c r="A82" s="1" t="s">
        <v>68</v>
      </c>
      <c r="B82" s="2">
        <v>0.39041670550946211</v>
      </c>
      <c r="C82" s="2">
        <v>0.39004381467325439</v>
      </c>
      <c r="D82" s="2">
        <v>0.37214505453528479</v>
      </c>
      <c r="E82" s="2">
        <v>0.24797240607812063</v>
      </c>
      <c r="F82" s="2">
        <v>0.35014449519903046</v>
      </c>
      <c r="G82" s="3">
        <v>2.7323266832606788E-2</v>
      </c>
      <c r="H82" s="4" t="s">
        <v>69</v>
      </c>
      <c r="I82" s="1" t="s">
        <v>68</v>
      </c>
    </row>
    <row r="83" spans="1:9" x14ac:dyDescent="0.2">
      <c r="A83" s="1" t="s">
        <v>33</v>
      </c>
      <c r="B83" s="2">
        <v>0.22522606506945092</v>
      </c>
      <c r="C83" s="2">
        <v>0.20210683322457351</v>
      </c>
      <c r="D83" s="2">
        <v>3.244150275006992E-2</v>
      </c>
      <c r="E83" s="2">
        <v>0.24312482520742051</v>
      </c>
      <c r="F83" s="2">
        <v>0.17572480656287873</v>
      </c>
      <c r="G83" s="3">
        <v>1.4055389251916423E-2</v>
      </c>
      <c r="H83" s="4" t="s">
        <v>34</v>
      </c>
      <c r="I83" s="1" t="s">
        <v>33</v>
      </c>
    </row>
    <row r="84" spans="1:9" x14ac:dyDescent="0.2">
      <c r="A84" s="1" t="s">
        <v>114</v>
      </c>
      <c r="B84" s="2">
        <v>0.59028619371678936</v>
      </c>
      <c r="C84" s="2">
        <v>0.54255616668220374</v>
      </c>
      <c r="D84" s="2">
        <v>0.63764332991516737</v>
      </c>
      <c r="E84" s="2">
        <v>0.46574065442341755</v>
      </c>
      <c r="F84" s="2">
        <v>0.55905658618439447</v>
      </c>
      <c r="G84" s="2">
        <v>6.5528948354933073E-2</v>
      </c>
      <c r="H84" s="4" t="s">
        <v>115</v>
      </c>
      <c r="I84" s="1" t="s">
        <v>114</v>
      </c>
    </row>
    <row r="85" spans="1:9" x14ac:dyDescent="0.2">
      <c r="A85" s="1" t="s">
        <v>60</v>
      </c>
      <c r="B85" s="2">
        <v>0.46201174606134054</v>
      </c>
      <c r="C85" s="2">
        <v>0.57387899692365063</v>
      </c>
      <c r="D85" s="2">
        <v>8.0917311457070942E-2</v>
      </c>
      <c r="E85" s="2">
        <v>1.9390323482800412E-2</v>
      </c>
      <c r="F85" s="2">
        <v>0.28404959448121564</v>
      </c>
      <c r="G85" s="3">
        <v>1.8389104539818041E-2</v>
      </c>
      <c r="H85" s="4" t="s">
        <v>61</v>
      </c>
      <c r="I85" s="1" t="s">
        <v>60</v>
      </c>
    </row>
    <row r="86" spans="1:9" x14ac:dyDescent="0.2">
      <c r="H8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86"/>
  <sheetViews>
    <sheetView workbookViewId="0"/>
  </sheetViews>
  <sheetFormatPr defaultColWidth="12.5703125" defaultRowHeight="15.75" customHeight="1" x14ac:dyDescent="0.2"/>
  <sheetData>
    <row r="1" spans="1:9" x14ac:dyDescent="0.2">
      <c r="A1" s="1" t="s">
        <v>9</v>
      </c>
      <c r="C1" s="6">
        <v>8.4704244237017168E-3</v>
      </c>
      <c r="D1" s="2">
        <v>6.1923057088339957E-2</v>
      </c>
      <c r="E1" s="6">
        <v>3.4732607910886497E-2</v>
      </c>
      <c r="F1" s="2">
        <v>3.5042029807642719E-2</v>
      </c>
      <c r="G1" s="3">
        <v>1.5048738202846709E-2</v>
      </c>
      <c r="H1" s="4" t="s">
        <v>10</v>
      </c>
      <c r="I1" s="1" t="s">
        <v>9</v>
      </c>
    </row>
    <row r="2" spans="1:9" x14ac:dyDescent="0.2">
      <c r="A2" s="1" t="s">
        <v>13</v>
      </c>
      <c r="C2" s="6">
        <v>8.5091021607962454E-3</v>
      </c>
      <c r="D2" s="2">
        <v>5.8132638853076173E-2</v>
      </c>
      <c r="E2" s="6">
        <v>4.5407663348976328E-2</v>
      </c>
      <c r="F2" s="2">
        <v>3.7349801454282912E-2</v>
      </c>
      <c r="G2" s="3">
        <v>1.514730427431185E-2</v>
      </c>
      <c r="H2" s="4" t="s">
        <v>14</v>
      </c>
      <c r="I2" s="1" t="s">
        <v>13</v>
      </c>
    </row>
    <row r="3" spans="1:9" x14ac:dyDescent="0.2">
      <c r="A3" s="1" t="s">
        <v>15</v>
      </c>
      <c r="C3" s="2">
        <v>6.695116291062865E-2</v>
      </c>
      <c r="D3" s="2">
        <v>5.2408333763085971E-2</v>
      </c>
      <c r="E3" s="2">
        <v>2.6068794801712137E-2</v>
      </c>
      <c r="F3" s="2">
        <v>4.8476097158475583E-2</v>
      </c>
      <c r="G3" s="3">
        <v>1.5628549101484632E-2</v>
      </c>
      <c r="H3" s="4" t="s">
        <v>16</v>
      </c>
      <c r="I3" s="1" t="s">
        <v>15</v>
      </c>
    </row>
    <row r="4" spans="1:9" x14ac:dyDescent="0.2">
      <c r="A4" s="1" t="s">
        <v>17</v>
      </c>
      <c r="C4" s="7">
        <v>4.2236088907225001E-2</v>
      </c>
      <c r="D4" s="6">
        <v>6.2541900881852408E-2</v>
      </c>
      <c r="E4" s="7">
        <v>6.5984219483265438E-2</v>
      </c>
      <c r="F4" s="2">
        <v>5.6920736424114278E-2</v>
      </c>
      <c r="G4" s="3">
        <v>1.6056726718572192E-2</v>
      </c>
      <c r="H4" s="4" t="s">
        <v>18</v>
      </c>
      <c r="I4" s="1" t="s">
        <v>17</v>
      </c>
    </row>
    <row r="5" spans="1:9" x14ac:dyDescent="0.2">
      <c r="A5" s="1" t="s">
        <v>19</v>
      </c>
      <c r="C5" s="2">
        <v>2.3864163787324016E-2</v>
      </c>
      <c r="D5" s="2">
        <v>7.9830849363106596E-2</v>
      </c>
      <c r="E5" s="2">
        <v>8.354391212418133E-2</v>
      </c>
      <c r="F5" s="2">
        <v>6.2412975091537308E-2</v>
      </c>
      <c r="G5" s="3">
        <v>1.5676277574816568E-2</v>
      </c>
      <c r="H5" s="4" t="s">
        <v>20</v>
      </c>
      <c r="I5" s="1" t="s">
        <v>19</v>
      </c>
    </row>
    <row r="6" spans="1:9" x14ac:dyDescent="0.2">
      <c r="A6" s="1" t="s">
        <v>21</v>
      </c>
      <c r="C6" s="7">
        <v>4.217351217916307E-2</v>
      </c>
      <c r="D6" s="6">
        <v>0.16128840377122802</v>
      </c>
      <c r="E6" s="7">
        <v>0.20135026618683638</v>
      </c>
      <c r="F6" s="2">
        <v>0.13493739404574251</v>
      </c>
      <c r="G6" s="3">
        <v>6.3344844144849549E-4</v>
      </c>
      <c r="H6" s="4" t="s">
        <v>22</v>
      </c>
      <c r="I6" s="1" t="s">
        <v>21</v>
      </c>
    </row>
    <row r="7" spans="1:9" x14ac:dyDescent="0.2">
      <c r="A7" s="1" t="s">
        <v>23</v>
      </c>
      <c r="C7" s="2">
        <v>5.0513124645454079E-2</v>
      </c>
      <c r="D7" s="2">
        <v>0.26370481151049457</v>
      </c>
      <c r="E7" s="2">
        <v>0.10330823577948534</v>
      </c>
      <c r="F7" s="2">
        <v>0.13917539064514467</v>
      </c>
      <c r="G7" s="3">
        <v>1.3490601707253962E-2</v>
      </c>
      <c r="H7" s="4" t="s">
        <v>24</v>
      </c>
      <c r="I7" s="1" t="s">
        <v>23</v>
      </c>
    </row>
    <row r="8" spans="1:9" x14ac:dyDescent="0.2">
      <c r="A8" s="1" t="s">
        <v>25</v>
      </c>
      <c r="C8" s="7">
        <v>8.520705481924605E-2</v>
      </c>
      <c r="D8" s="6">
        <v>0.32644010107781962</v>
      </c>
      <c r="E8" s="7">
        <v>2.355474189056779E-2</v>
      </c>
      <c r="F8" s="2">
        <v>0.14506729926254447</v>
      </c>
      <c r="G8" s="3">
        <v>1.090291879780117E-2</v>
      </c>
      <c r="H8" s="4" t="s">
        <v>26</v>
      </c>
      <c r="I8" s="1" t="s">
        <v>25</v>
      </c>
    </row>
    <row r="9" spans="1:9" x14ac:dyDescent="0.2">
      <c r="A9" s="1" t="s">
        <v>29</v>
      </c>
      <c r="C9" s="2">
        <v>0.26157753597029548</v>
      </c>
      <c r="D9" s="2">
        <v>0.24374709916971793</v>
      </c>
      <c r="E9" s="2">
        <v>1.3769274405652107E-2</v>
      </c>
      <c r="F9" s="2">
        <v>0.1730313031818885</v>
      </c>
      <c r="G9" s="3">
        <v>1.3025166798942079E-2</v>
      </c>
      <c r="H9" s="4" t="s">
        <v>30</v>
      </c>
      <c r="I9" s="1" t="s">
        <v>29</v>
      </c>
    </row>
    <row r="10" spans="1:9" x14ac:dyDescent="0.2">
      <c r="A10" s="1" t="s">
        <v>31</v>
      </c>
      <c r="C10" s="7">
        <v>0.27871177350317161</v>
      </c>
      <c r="D10" s="2">
        <v>0.23117683461399618</v>
      </c>
      <c r="E10" s="7">
        <v>9.9015006961992672E-3</v>
      </c>
      <c r="F10" s="2">
        <v>0.17326336960445568</v>
      </c>
      <c r="G10" s="3">
        <v>1.2739573403717768E-2</v>
      </c>
      <c r="H10" s="4" t="s">
        <v>32</v>
      </c>
      <c r="I10" s="1" t="s">
        <v>31</v>
      </c>
    </row>
    <row r="11" spans="1:9" x14ac:dyDescent="0.2">
      <c r="A11" s="1" t="s">
        <v>33</v>
      </c>
      <c r="B11" s="2">
        <v>0.22522606506945092</v>
      </c>
      <c r="C11" s="6">
        <v>0.20210683322457351</v>
      </c>
      <c r="D11" s="2">
        <v>3.244150275006992E-2</v>
      </c>
      <c r="E11" s="6">
        <v>0.24312482520742051</v>
      </c>
      <c r="F11" s="2">
        <v>0.17572480656287873</v>
      </c>
      <c r="G11" s="3">
        <v>1.4055389251916423E-2</v>
      </c>
      <c r="H11" s="4" t="s">
        <v>34</v>
      </c>
      <c r="I11" s="1" t="s">
        <v>33</v>
      </c>
    </row>
    <row r="12" spans="1:9" x14ac:dyDescent="0.2">
      <c r="A12" s="1" t="s">
        <v>35</v>
      </c>
      <c r="C12" s="6">
        <v>0.18286834098293023</v>
      </c>
      <c r="D12" s="2">
        <v>0.20545613944613481</v>
      </c>
      <c r="E12" s="6">
        <v>0.13947191996286937</v>
      </c>
      <c r="F12" s="2">
        <v>0.17593213346397812</v>
      </c>
      <c r="G12" s="3">
        <v>2.0112831781392147E-2</v>
      </c>
      <c r="H12" s="4" t="s">
        <v>36</v>
      </c>
      <c r="I12" s="1" t="s">
        <v>35</v>
      </c>
    </row>
    <row r="13" spans="1:9" x14ac:dyDescent="0.2">
      <c r="A13" s="1" t="s">
        <v>38</v>
      </c>
      <c r="B13" s="2">
        <v>0.23007364594015103</v>
      </c>
      <c r="C13" s="2">
        <v>0.24797240607812063</v>
      </c>
      <c r="D13" s="2">
        <v>4.5492682017339421E-2</v>
      </c>
      <c r="E13" s="2">
        <v>0.26027780367297476</v>
      </c>
      <c r="F13" s="2">
        <v>0.19595413442714646</v>
      </c>
      <c r="G13" s="3">
        <v>1.4947036775603219E-2</v>
      </c>
      <c r="H13" s="4" t="s">
        <v>39</v>
      </c>
      <c r="I13" s="1" t="s">
        <v>38</v>
      </c>
    </row>
    <row r="14" spans="1:9" x14ac:dyDescent="0.2">
      <c r="A14" s="1" t="s">
        <v>40</v>
      </c>
      <c r="B14" s="2">
        <v>0.14319008110375689</v>
      </c>
      <c r="C14" s="6">
        <v>0.24275193437121284</v>
      </c>
      <c r="D14" s="7">
        <v>0.36767036450079238</v>
      </c>
      <c r="E14" s="6">
        <v>4.1763773655262425E-2</v>
      </c>
      <c r="F14" s="2">
        <v>0.19884403840775614</v>
      </c>
      <c r="G14" s="3">
        <v>1.4019444521078178E-2</v>
      </c>
      <c r="H14" s="4" t="s">
        <v>41</v>
      </c>
      <c r="I14" s="1" t="s">
        <v>40</v>
      </c>
    </row>
    <row r="15" spans="1:9" x14ac:dyDescent="0.2">
      <c r="A15" s="1" t="s">
        <v>42</v>
      </c>
      <c r="C15" s="2">
        <v>0.31638388943324225</v>
      </c>
      <c r="D15" s="2">
        <v>0.18194007529266154</v>
      </c>
      <c r="E15" s="2">
        <v>0.15432417100716828</v>
      </c>
      <c r="F15" s="2">
        <v>0.21754937857769069</v>
      </c>
      <c r="G15" s="3">
        <v>1.8697979303537709E-2</v>
      </c>
      <c r="H15" s="4" t="s">
        <v>43</v>
      </c>
      <c r="I15" s="1" t="s">
        <v>42</v>
      </c>
    </row>
    <row r="16" spans="1:9" x14ac:dyDescent="0.2">
      <c r="A16" s="1" t="s">
        <v>44</v>
      </c>
      <c r="C16" s="6">
        <v>0.29012170594605746</v>
      </c>
      <c r="D16" s="7">
        <v>0.24053684699087205</v>
      </c>
      <c r="E16" s="6">
        <v>0.18155329792171626</v>
      </c>
      <c r="F16" s="2">
        <v>0.23740395028621528</v>
      </c>
      <c r="G16" s="3">
        <v>2.2157157655176261E-2</v>
      </c>
      <c r="H16" s="4" t="s">
        <v>45</v>
      </c>
      <c r="I16" s="1" t="s">
        <v>44</v>
      </c>
    </row>
    <row r="17" spans="1:26" x14ac:dyDescent="0.2">
      <c r="A17" s="1" t="s">
        <v>46</v>
      </c>
      <c r="C17" s="2">
        <v>0.15768913413439226</v>
      </c>
      <c r="D17" s="2">
        <v>0.27221391367129083</v>
      </c>
      <c r="E17" s="2">
        <v>0.28397194574802742</v>
      </c>
      <c r="F17" s="2">
        <v>0.23795833118457019</v>
      </c>
      <c r="G17" s="3">
        <v>2.1098613963317327E-2</v>
      </c>
      <c r="H17" s="4" t="s">
        <v>47</v>
      </c>
      <c r="I17" s="1" t="s">
        <v>46</v>
      </c>
    </row>
    <row r="18" spans="1:26" x14ac:dyDescent="0.2">
      <c r="A18" s="1" t="s">
        <v>48</v>
      </c>
      <c r="C18" s="6">
        <v>0.1249290908153267</v>
      </c>
      <c r="D18" s="7">
        <v>0.3778041359393533</v>
      </c>
      <c r="E18" s="6">
        <v>0.21736888247124955</v>
      </c>
      <c r="F18" s="2">
        <v>0.24003403640864318</v>
      </c>
      <c r="G18" s="3">
        <v>1.6741964087471681E-2</v>
      </c>
      <c r="H18" s="4" t="s">
        <v>49</v>
      </c>
      <c r="I18" s="1" t="s">
        <v>48</v>
      </c>
    </row>
    <row r="19" spans="1:26" x14ac:dyDescent="0.2">
      <c r="A19" s="1" t="s">
        <v>50</v>
      </c>
      <c r="C19" s="2">
        <v>0.31661595585580943</v>
      </c>
      <c r="D19" s="2">
        <v>0.16128616368418339</v>
      </c>
      <c r="E19" s="2">
        <v>0.2435923882213398</v>
      </c>
      <c r="F19" s="2">
        <v>0.24049816925377754</v>
      </c>
      <c r="G19" s="3">
        <v>2.0630895713943193E-2</v>
      </c>
      <c r="H19" s="4" t="s">
        <v>51</v>
      </c>
      <c r="I19" s="1" t="s">
        <v>50</v>
      </c>
    </row>
    <row r="20" spans="1:26" x14ac:dyDescent="0.2">
      <c r="A20" s="1" t="s">
        <v>52</v>
      </c>
      <c r="C20" s="6">
        <v>0.41137641173740397</v>
      </c>
      <c r="D20" s="7">
        <v>0.32013562993141148</v>
      </c>
      <c r="E20" s="6">
        <v>1.1448610179980404E-2</v>
      </c>
      <c r="F20" s="2">
        <v>0.24765355061626529</v>
      </c>
      <c r="G20" s="3">
        <v>1.4320912962714864E-2</v>
      </c>
      <c r="H20" s="4" t="s">
        <v>53</v>
      </c>
      <c r="I20" s="1" t="s">
        <v>52</v>
      </c>
    </row>
    <row r="21" spans="1:26" x14ac:dyDescent="0.2">
      <c r="A21" s="1" t="s">
        <v>54</v>
      </c>
      <c r="C21" s="2">
        <v>0.32141199525553094</v>
      </c>
      <c r="D21" s="2">
        <v>0.26645093084420607</v>
      </c>
      <c r="E21" s="2">
        <v>0.16132484142127793</v>
      </c>
      <c r="F21" s="2">
        <v>0.24972925584033831</v>
      </c>
      <c r="G21" s="3">
        <v>2.0870699209598147E-2</v>
      </c>
      <c r="H21" s="4" t="s">
        <v>55</v>
      </c>
      <c r="I21" s="1" t="s">
        <v>54</v>
      </c>
    </row>
    <row r="22" spans="1:26" x14ac:dyDescent="0.2">
      <c r="A22" s="1" t="s">
        <v>56</v>
      </c>
      <c r="C22" s="2">
        <v>0.34620442473312363</v>
      </c>
      <c r="D22" s="7">
        <v>0.31019545149811767</v>
      </c>
      <c r="E22" s="2">
        <v>0.10245732556340571</v>
      </c>
      <c r="F22" s="2">
        <v>0.25295240059821567</v>
      </c>
      <c r="G22" s="3">
        <v>1.7197516127414898E-2</v>
      </c>
      <c r="H22" s="4" t="s">
        <v>57</v>
      </c>
      <c r="I22" s="1" t="s">
        <v>56</v>
      </c>
    </row>
    <row r="23" spans="1:26" x14ac:dyDescent="0.2">
      <c r="A23" s="1" t="s">
        <v>60</v>
      </c>
      <c r="B23" s="2">
        <v>0.46201174606134054</v>
      </c>
      <c r="C23" s="2">
        <v>0.57387899692365063</v>
      </c>
      <c r="D23" s="6">
        <v>8.0917311457070942E-2</v>
      </c>
      <c r="E23" s="2">
        <v>1.9390323482800412E-2</v>
      </c>
      <c r="F23" s="2">
        <v>0.28404959448121564</v>
      </c>
      <c r="G23" s="3">
        <v>1.8389104539818041E-2</v>
      </c>
      <c r="H23" s="4" t="s">
        <v>61</v>
      </c>
      <c r="I23" s="1" t="s">
        <v>60</v>
      </c>
    </row>
    <row r="24" spans="1:26" x14ac:dyDescent="0.2">
      <c r="A24" s="9" t="s">
        <v>179</v>
      </c>
      <c r="C24" s="10">
        <v>0.42441080913826001</v>
      </c>
      <c r="D24" s="13">
        <v>0.3701072662575422</v>
      </c>
      <c r="E24" s="10">
        <v>7.3565055953792993E-2</v>
      </c>
      <c r="F24" s="10">
        <v>0.28936104378319838</v>
      </c>
      <c r="G24" s="10">
        <v>1.6940360354350016E-2</v>
      </c>
      <c r="H24" s="11" t="s">
        <v>180</v>
      </c>
      <c r="I24" s="9" t="s">
        <v>179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x14ac:dyDescent="0.2">
      <c r="A25" s="1" t="s">
        <v>62</v>
      </c>
      <c r="C25" s="2">
        <v>0.41949873652725495</v>
      </c>
      <c r="D25" s="2">
        <v>0.33792738899489455</v>
      </c>
      <c r="E25" s="2">
        <v>0.17675725852199475</v>
      </c>
      <c r="F25" s="2">
        <v>0.3113944613480481</v>
      </c>
      <c r="G25" s="3">
        <v>2.1462628760560629E-2</v>
      </c>
      <c r="H25" s="4" t="s">
        <v>63</v>
      </c>
      <c r="I25" s="1" t="s">
        <v>62</v>
      </c>
    </row>
    <row r="26" spans="1:26" x14ac:dyDescent="0.2">
      <c r="A26" s="1" t="s">
        <v>64</v>
      </c>
      <c r="C26" s="7">
        <v>0.40012119024289622</v>
      </c>
      <c r="D26" s="6">
        <v>0.33297663864679494</v>
      </c>
      <c r="E26" s="7">
        <v>0.26064927028002682</v>
      </c>
      <c r="F26" s="2">
        <v>0.33124903305657261</v>
      </c>
      <c r="G26" s="3">
        <v>2.7420745425815626E-2</v>
      </c>
      <c r="H26" s="4" t="s">
        <v>65</v>
      </c>
      <c r="I26" s="1" t="s">
        <v>64</v>
      </c>
    </row>
    <row r="27" spans="1:26" x14ac:dyDescent="0.2">
      <c r="A27" s="1" t="s">
        <v>66</v>
      </c>
      <c r="B27" s="2">
        <v>0.25468444112985922</v>
      </c>
      <c r="C27" s="2">
        <v>0.28861750722475993</v>
      </c>
      <c r="D27" s="2">
        <v>0.42882446163885524</v>
      </c>
      <c r="E27" s="2">
        <v>0.37289083620770019</v>
      </c>
      <c r="F27" s="2">
        <v>0.33625431155029367</v>
      </c>
      <c r="G27" s="3">
        <v>2.5651513240633261E-2</v>
      </c>
      <c r="H27" s="4" t="s">
        <v>67</v>
      </c>
      <c r="I27" s="1" t="s">
        <v>66</v>
      </c>
    </row>
    <row r="28" spans="1:26" x14ac:dyDescent="0.2">
      <c r="A28" s="1" t="s">
        <v>68</v>
      </c>
      <c r="B28" s="2">
        <v>0.39041670550946211</v>
      </c>
      <c r="C28" s="7">
        <v>0.39004381467325439</v>
      </c>
      <c r="D28" s="6">
        <v>0.37214505453528479</v>
      </c>
      <c r="E28" s="7">
        <v>0.24797240607812063</v>
      </c>
      <c r="F28" s="2">
        <v>0.35014449519903046</v>
      </c>
      <c r="G28" s="3">
        <v>2.7323266832606788E-2</v>
      </c>
      <c r="H28" s="4" t="s">
        <v>69</v>
      </c>
      <c r="I28" s="1" t="s">
        <v>68</v>
      </c>
    </row>
    <row r="29" spans="1:26" x14ac:dyDescent="0.2">
      <c r="A29" s="1" t="s">
        <v>70</v>
      </c>
      <c r="C29" s="2">
        <v>0.4577510185137435</v>
      </c>
      <c r="D29" s="2">
        <v>0.35904543344850703</v>
      </c>
      <c r="E29" s="2">
        <v>0.30396833582589861</v>
      </c>
      <c r="F29" s="2">
        <v>0.37358826259604971</v>
      </c>
      <c r="G29" s="3">
        <v>3.0495496633143212E-2</v>
      </c>
      <c r="H29" s="4" t="s">
        <v>71</v>
      </c>
      <c r="I29" s="1" t="s">
        <v>70</v>
      </c>
    </row>
    <row r="30" spans="1:26" x14ac:dyDescent="0.2">
      <c r="A30" s="1" t="s">
        <v>72</v>
      </c>
      <c r="C30" s="7">
        <v>0.56620339332680114</v>
      </c>
      <c r="D30" s="6">
        <v>0.3261693569181579</v>
      </c>
      <c r="E30" s="7">
        <v>0.24312825537620547</v>
      </c>
      <c r="F30" s="2">
        <v>0.37850033520705484</v>
      </c>
      <c r="G30" s="3">
        <v>2.4660928075258697E-2</v>
      </c>
      <c r="H30" s="4" t="s">
        <v>73</v>
      </c>
      <c r="I30" s="1" t="s">
        <v>72</v>
      </c>
    </row>
    <row r="31" spans="1:26" x14ac:dyDescent="0.2">
      <c r="A31" s="1" t="s">
        <v>74</v>
      </c>
      <c r="C31" s="2">
        <v>0.48343303594451037</v>
      </c>
      <c r="D31" s="2">
        <v>0.42854932700737458</v>
      </c>
      <c r="E31" s="2">
        <v>0.23032592439791658</v>
      </c>
      <c r="F31" s="2">
        <v>0.3807694291166005</v>
      </c>
      <c r="G31" s="3">
        <v>2.6633876555375004E-2</v>
      </c>
      <c r="H31" s="4" t="s">
        <v>75</v>
      </c>
      <c r="I31" s="1" t="s">
        <v>74</v>
      </c>
    </row>
    <row r="32" spans="1:26" x14ac:dyDescent="0.2">
      <c r="A32" s="1" t="s">
        <v>110</v>
      </c>
      <c r="C32" s="7">
        <v>0.48651220890461888</v>
      </c>
      <c r="D32" s="6">
        <v>0.72515837373226655</v>
      </c>
      <c r="E32" s="7">
        <v>1.9361746423579098E-2</v>
      </c>
      <c r="F32" s="2">
        <v>0.4103441096868215</v>
      </c>
      <c r="G32" s="2">
        <v>5.181866031979402E-2</v>
      </c>
      <c r="H32" s="4" t="s">
        <v>111</v>
      </c>
      <c r="I32" s="1" t="s">
        <v>110</v>
      </c>
    </row>
    <row r="33" spans="1:9" x14ac:dyDescent="0.2">
      <c r="A33" s="1" t="s">
        <v>76</v>
      </c>
      <c r="C33" s="2">
        <v>0.39745242638337375</v>
      </c>
      <c r="D33" s="2">
        <v>0.509540508483317</v>
      </c>
      <c r="E33" s="2">
        <v>0.3342143262338198</v>
      </c>
      <c r="F33" s="2">
        <v>0.41373575370017018</v>
      </c>
      <c r="G33" s="3">
        <v>3.3792915849940049E-2</v>
      </c>
      <c r="H33" s="4" t="s">
        <v>77</v>
      </c>
      <c r="I33" s="1" t="s">
        <v>76</v>
      </c>
    </row>
    <row r="34" spans="1:9" x14ac:dyDescent="0.2">
      <c r="A34" s="1" t="s">
        <v>78</v>
      </c>
      <c r="B34" s="2">
        <v>0.32068611913862216</v>
      </c>
      <c r="C34" s="7">
        <v>0.48699543208725643</v>
      </c>
      <c r="D34" s="6">
        <v>0.36244989279388456</v>
      </c>
      <c r="E34" s="7">
        <v>0.50079239302694134</v>
      </c>
      <c r="F34" s="2">
        <v>0.41773095926167614</v>
      </c>
      <c r="G34" s="3">
        <v>3.5115094266865182E-2</v>
      </c>
      <c r="H34" s="4" t="s">
        <v>79</v>
      </c>
      <c r="I34" s="1" t="s">
        <v>78</v>
      </c>
    </row>
    <row r="35" spans="1:9" x14ac:dyDescent="0.2">
      <c r="A35" s="1" t="s">
        <v>80</v>
      </c>
      <c r="C35" s="2">
        <v>0.65374892186895872</v>
      </c>
      <c r="D35" s="2">
        <v>0.58775243137138267</v>
      </c>
      <c r="E35" s="2">
        <v>3.3102340659667488E-2</v>
      </c>
      <c r="F35" s="2">
        <v>0.42486789796666968</v>
      </c>
      <c r="G35" s="3">
        <v>4.9428576592332962E-2</v>
      </c>
      <c r="H35" s="4" t="s">
        <v>81</v>
      </c>
      <c r="I35" s="1" t="s">
        <v>80</v>
      </c>
    </row>
    <row r="36" spans="1:9" x14ac:dyDescent="0.2">
      <c r="A36" s="1" t="s">
        <v>82</v>
      </c>
      <c r="B36" s="2">
        <v>0.37028060035424631</v>
      </c>
      <c r="C36" s="7">
        <v>0.36133122028526149</v>
      </c>
      <c r="D36" s="6">
        <v>0.51235200894938004</v>
      </c>
      <c r="E36" s="7">
        <v>0.47319847114757158</v>
      </c>
      <c r="F36" s="2">
        <v>0.42929057518411484</v>
      </c>
      <c r="G36" s="3">
        <v>3.7212956414630474E-2</v>
      </c>
      <c r="H36" s="4" t="s">
        <v>83</v>
      </c>
      <c r="I36" s="1" t="s">
        <v>82</v>
      </c>
    </row>
    <row r="37" spans="1:9" x14ac:dyDescent="0.2">
      <c r="A37" s="1" t="s">
        <v>84</v>
      </c>
      <c r="B37" s="2">
        <v>0.45306236599235572</v>
      </c>
      <c r="C37" s="2">
        <v>0.44299431341474782</v>
      </c>
      <c r="D37" s="2">
        <v>0.47058823529411764</v>
      </c>
      <c r="E37" s="2">
        <v>0.41502750069917033</v>
      </c>
      <c r="F37" s="2">
        <v>0.44541810385009789</v>
      </c>
      <c r="G37" s="3">
        <v>4.0686842269605325E-2</v>
      </c>
      <c r="H37" s="4" t="s">
        <v>85</v>
      </c>
      <c r="I37" s="1" t="s">
        <v>84</v>
      </c>
    </row>
    <row r="38" spans="1:9" x14ac:dyDescent="0.2">
      <c r="A38" s="1" t="s">
        <v>86</v>
      </c>
      <c r="C38" s="7">
        <v>0.32219016744490381</v>
      </c>
      <c r="D38" s="6">
        <v>0.49308509056300748</v>
      </c>
      <c r="E38" s="7">
        <v>0.54138536121107572</v>
      </c>
      <c r="F38" s="2">
        <v>0.45222020640632898</v>
      </c>
      <c r="G38" s="3">
        <v>5.4200056285692568E-3</v>
      </c>
      <c r="H38" s="4" t="s">
        <v>87</v>
      </c>
      <c r="I38" s="1" t="s">
        <v>86</v>
      </c>
    </row>
    <row r="39" spans="1:9" x14ac:dyDescent="0.2">
      <c r="A39" s="1" t="s">
        <v>88</v>
      </c>
      <c r="C39" s="2">
        <v>0.43740652880202158</v>
      </c>
      <c r="D39" s="2">
        <v>0.39857408075911505</v>
      </c>
      <c r="E39" s="2">
        <v>0.52265226135836218</v>
      </c>
      <c r="F39" s="2">
        <v>0.45287762363983292</v>
      </c>
      <c r="G39" s="3">
        <v>4.0974156330320755E-2</v>
      </c>
      <c r="H39" s="4" t="s">
        <v>89</v>
      </c>
      <c r="I39" s="1" t="s">
        <v>88</v>
      </c>
    </row>
    <row r="40" spans="1:9" x14ac:dyDescent="0.2">
      <c r="A40" s="1" t="s">
        <v>90</v>
      </c>
      <c r="C40" s="7">
        <v>0.63056314785209633</v>
      </c>
      <c r="D40" s="6">
        <v>0.33850755505131247</v>
      </c>
      <c r="E40" s="7">
        <v>0.46316590170697747</v>
      </c>
      <c r="F40" s="2">
        <v>0.47741220153679542</v>
      </c>
      <c r="G40" s="3">
        <v>3.8182330970743084E-2</v>
      </c>
      <c r="H40" s="4" t="s">
        <v>91</v>
      </c>
      <c r="I40" s="1" t="s">
        <v>90</v>
      </c>
    </row>
    <row r="41" spans="1:9" x14ac:dyDescent="0.2">
      <c r="A41" s="1" t="s">
        <v>92</v>
      </c>
      <c r="C41" s="2">
        <v>0.2930434523986557</v>
      </c>
      <c r="D41" s="2">
        <v>0.60095767778009102</v>
      </c>
      <c r="E41" s="2">
        <v>0.55634535883175207</v>
      </c>
      <c r="F41" s="2">
        <v>0.48344882967016628</v>
      </c>
      <c r="G41" s="3">
        <v>1.495164589978451E-2</v>
      </c>
      <c r="H41" s="4" t="s">
        <v>93</v>
      </c>
      <c r="I41" s="1" t="s">
        <v>92</v>
      </c>
    </row>
    <row r="42" spans="1:9" x14ac:dyDescent="0.2">
      <c r="A42" s="1" t="s">
        <v>112</v>
      </c>
      <c r="C42" s="7">
        <v>0.90529111443453147</v>
      </c>
      <c r="D42" s="6">
        <v>0.50265587128049094</v>
      </c>
      <c r="E42" s="7">
        <v>0.24974214841936981</v>
      </c>
      <c r="F42" s="2">
        <v>0.55256304471146411</v>
      </c>
      <c r="G42" s="2">
        <v>7.9340138064432533E-2</v>
      </c>
      <c r="H42" s="4" t="s">
        <v>113</v>
      </c>
      <c r="I42" s="1" t="s">
        <v>112</v>
      </c>
    </row>
    <row r="43" spans="1:9" x14ac:dyDescent="0.2">
      <c r="A43" s="1" t="s">
        <v>94</v>
      </c>
      <c r="C43" s="2">
        <v>0.31859144038307113</v>
      </c>
      <c r="D43" s="2">
        <v>0.68524521904648605</v>
      </c>
      <c r="E43" s="2">
        <v>0.65916188323469049</v>
      </c>
      <c r="F43" s="2">
        <v>0.55433284755474921</v>
      </c>
      <c r="G43" s="3">
        <v>3.0515650144994706E-2</v>
      </c>
      <c r="H43" s="4" t="s">
        <v>95</v>
      </c>
      <c r="I43" s="1" t="s">
        <v>94</v>
      </c>
    </row>
    <row r="44" spans="1:9" x14ac:dyDescent="0.2">
      <c r="A44" s="1" t="s">
        <v>114</v>
      </c>
      <c r="B44" s="2">
        <v>0.59028619371678936</v>
      </c>
      <c r="C44" s="7">
        <v>0.54255616668220374</v>
      </c>
      <c r="D44" s="6">
        <v>0.63764332991516737</v>
      </c>
      <c r="E44" s="6">
        <v>0.46574065442341755</v>
      </c>
      <c r="F44" s="2">
        <v>0.55905658618439447</v>
      </c>
      <c r="G44" s="2">
        <v>6.5528948354933073E-2</v>
      </c>
      <c r="H44" s="4" t="s">
        <v>115</v>
      </c>
      <c r="I44" s="1" t="s">
        <v>114</v>
      </c>
    </row>
    <row r="45" spans="1:9" x14ac:dyDescent="0.2">
      <c r="A45" s="1" t="s">
        <v>116</v>
      </c>
      <c r="B45" s="2">
        <v>0.58804884869954321</v>
      </c>
      <c r="C45" s="2">
        <v>0.60072713713060499</v>
      </c>
      <c r="D45" s="2">
        <v>0.46163885522513282</v>
      </c>
      <c r="E45" s="2">
        <v>0.61004940803579755</v>
      </c>
      <c r="F45" s="2">
        <v>0.56511606227276967</v>
      </c>
      <c r="G45" s="2">
        <v>6.7428422736044713E-2</v>
      </c>
      <c r="H45" s="4" t="s">
        <v>117</v>
      </c>
      <c r="I45" s="1" t="s">
        <v>116</v>
      </c>
    </row>
    <row r="46" spans="1:9" x14ac:dyDescent="0.2">
      <c r="A46" s="1" t="s">
        <v>118</v>
      </c>
      <c r="B46" s="2">
        <v>0.46201174606134054</v>
      </c>
      <c r="C46" s="7">
        <v>0.66374568844970638</v>
      </c>
      <c r="D46" s="6">
        <v>0.59811690127715111</v>
      </c>
      <c r="E46" s="6">
        <v>0.62757527733755947</v>
      </c>
      <c r="F46" s="2">
        <v>0.58786240328143935</v>
      </c>
      <c r="G46" s="2">
        <v>7.4747355792668335E-2</v>
      </c>
      <c r="H46" s="4" t="s">
        <v>119</v>
      </c>
      <c r="I46" s="1" t="s">
        <v>118</v>
      </c>
    </row>
    <row r="47" spans="1:9" x14ac:dyDescent="0.2">
      <c r="A47" s="1" t="s">
        <v>96</v>
      </c>
      <c r="C47" s="2">
        <v>0.80950539809059274</v>
      </c>
      <c r="D47" s="2">
        <v>0.42875412663950274</v>
      </c>
      <c r="E47" s="2">
        <v>0.52934003509502425</v>
      </c>
      <c r="F47" s="2">
        <v>0.58919985327503988</v>
      </c>
      <c r="G47" s="3">
        <v>3.3110281728280837E-2</v>
      </c>
      <c r="H47" s="4" t="s">
        <v>97</v>
      </c>
      <c r="I47" s="1" t="s">
        <v>96</v>
      </c>
    </row>
    <row r="48" spans="1:9" x14ac:dyDescent="0.2">
      <c r="A48" s="1" t="s">
        <v>120</v>
      </c>
      <c r="C48" s="7">
        <v>0.94030871724712251</v>
      </c>
      <c r="D48" s="6">
        <v>0.43690331023406598</v>
      </c>
      <c r="E48" s="6">
        <v>0.39577075216369745</v>
      </c>
      <c r="F48" s="2">
        <v>0.59099425988162868</v>
      </c>
      <c r="G48" s="2">
        <v>7.1672412175857556E-2</v>
      </c>
      <c r="H48" s="4" t="s">
        <v>121</v>
      </c>
      <c r="I48" s="1" t="s">
        <v>120</v>
      </c>
    </row>
    <row r="49" spans="1:26" x14ac:dyDescent="0.2">
      <c r="A49" s="1" t="s">
        <v>98</v>
      </c>
      <c r="C49" s="2">
        <v>0.41290188263985961</v>
      </c>
      <c r="D49" s="2">
        <v>0.71061475775510807</v>
      </c>
      <c r="E49" s="2">
        <v>0.69324569491122146</v>
      </c>
      <c r="F49" s="2">
        <v>0.60558744510206308</v>
      </c>
      <c r="G49" s="3">
        <v>2.5660336371461961E-2</v>
      </c>
      <c r="H49" s="4" t="s">
        <v>99</v>
      </c>
      <c r="I49" s="1" t="s">
        <v>98</v>
      </c>
    </row>
    <row r="50" spans="1:26" x14ac:dyDescent="0.2">
      <c r="A50" s="1" t="s">
        <v>122</v>
      </c>
      <c r="C50" s="7">
        <v>0.89884900217113284</v>
      </c>
      <c r="D50" s="6">
        <v>0.40389019421229516</v>
      </c>
      <c r="E50" s="6">
        <v>0.5147666775719002</v>
      </c>
      <c r="F50" s="2">
        <v>0.60583529131844271</v>
      </c>
      <c r="G50" s="2">
        <v>5.8850389663109744E-2</v>
      </c>
      <c r="H50" s="4" t="s">
        <v>123</v>
      </c>
      <c r="I50" s="1" t="s">
        <v>122</v>
      </c>
    </row>
    <row r="51" spans="1:26" x14ac:dyDescent="0.2">
      <c r="A51" s="9" t="s">
        <v>177</v>
      </c>
      <c r="C51" s="10">
        <v>0.32504535585759747</v>
      </c>
      <c r="D51" s="10">
        <v>0.85964964458852566</v>
      </c>
      <c r="E51" s="10">
        <v>0.63521993873241533</v>
      </c>
      <c r="F51" s="10">
        <v>0.60663831305951288</v>
      </c>
      <c r="G51" s="10">
        <v>6.245277926901225E-2</v>
      </c>
      <c r="H51" s="11" t="s">
        <v>178</v>
      </c>
      <c r="I51" s="9" t="s">
        <v>177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x14ac:dyDescent="0.2">
      <c r="A52" s="1" t="s">
        <v>100</v>
      </c>
      <c r="C52" s="7">
        <v>0.76474437141242602</v>
      </c>
      <c r="D52" s="6">
        <v>0.49995538768105169</v>
      </c>
      <c r="E52" s="6">
        <v>0.57160277191208397</v>
      </c>
      <c r="F52" s="2">
        <v>0.61210084366852058</v>
      </c>
      <c r="G52" s="3">
        <v>1.7268098359599672E-2</v>
      </c>
      <c r="H52" s="4" t="s">
        <v>101</v>
      </c>
      <c r="I52" s="1" t="s">
        <v>100</v>
      </c>
    </row>
    <row r="53" spans="1:26" x14ac:dyDescent="0.2">
      <c r="A53" s="1" t="s">
        <v>124</v>
      </c>
      <c r="B53" s="2">
        <v>0.36916192784562318</v>
      </c>
      <c r="C53" s="2">
        <v>0.60259159131164353</v>
      </c>
      <c r="D53" s="2">
        <v>0.68910226531182994</v>
      </c>
      <c r="E53" s="2">
        <v>0.79873217115689377</v>
      </c>
      <c r="F53" s="2">
        <v>0.61489698890649758</v>
      </c>
      <c r="G53" s="2">
        <v>8.6646443113335248E-2</v>
      </c>
      <c r="H53" s="4" t="s">
        <v>125</v>
      </c>
      <c r="I53" s="1" t="s">
        <v>124</v>
      </c>
    </row>
    <row r="54" spans="1:26" x14ac:dyDescent="0.2">
      <c r="A54" s="1" t="s">
        <v>102</v>
      </c>
      <c r="C54" s="7">
        <v>0.8098028135502483</v>
      </c>
      <c r="D54" s="6">
        <v>0.63266216577937717</v>
      </c>
      <c r="E54" s="6">
        <v>0.50655801088540586</v>
      </c>
      <c r="F54" s="2">
        <v>0.64967433007167708</v>
      </c>
      <c r="G54" s="3">
        <v>2.6639498233306282E-2</v>
      </c>
      <c r="H54" s="4" t="s">
        <v>103</v>
      </c>
      <c r="I54" s="1" t="s">
        <v>102</v>
      </c>
    </row>
    <row r="55" spans="1:26" x14ac:dyDescent="0.2">
      <c r="A55" s="1" t="s">
        <v>126</v>
      </c>
      <c r="B55" s="2">
        <v>0.563438053509835</v>
      </c>
      <c r="C55" s="2">
        <v>0.68947515614803767</v>
      </c>
      <c r="D55" s="2">
        <v>0.72825580311363847</v>
      </c>
      <c r="E55" s="2">
        <v>0.64621981914794446</v>
      </c>
      <c r="F55" s="2">
        <v>0.65684720797986385</v>
      </c>
      <c r="G55" s="2">
        <v>0.10414824712177018</v>
      </c>
      <c r="H55" s="4" t="s">
        <v>127</v>
      </c>
      <c r="I55" s="1" t="s">
        <v>126</v>
      </c>
    </row>
    <row r="56" spans="1:26" x14ac:dyDescent="0.2">
      <c r="A56" s="1" t="s">
        <v>128</v>
      </c>
      <c r="B56" s="2">
        <v>0.39153537801808519</v>
      </c>
      <c r="C56" s="7">
        <v>0.79686771697585534</v>
      </c>
      <c r="D56" s="6">
        <v>0.6682203784841988</v>
      </c>
      <c r="E56" s="7">
        <v>0.77561293931201636</v>
      </c>
      <c r="F56" s="2">
        <v>0.65805910319753891</v>
      </c>
      <c r="G56" s="2">
        <v>0.10816410932388379</v>
      </c>
      <c r="H56" s="4" t="s">
        <v>129</v>
      </c>
      <c r="I56" s="1" t="s">
        <v>128</v>
      </c>
    </row>
    <row r="57" spans="1:26" x14ac:dyDescent="0.2">
      <c r="A57" s="1" t="s">
        <v>130</v>
      </c>
      <c r="B57" s="2">
        <v>0.59177775706162017</v>
      </c>
      <c r="C57" s="2">
        <v>0.76629066840682392</v>
      </c>
      <c r="D57" s="2">
        <v>0.68500046611354526</v>
      </c>
      <c r="E57" s="2">
        <v>0.60743917218234367</v>
      </c>
      <c r="F57" s="2">
        <v>0.6626270159410832</v>
      </c>
      <c r="G57" s="2">
        <v>0.1071716765994382</v>
      </c>
      <c r="H57" s="4" t="s">
        <v>131</v>
      </c>
      <c r="I57" s="1" t="s">
        <v>130</v>
      </c>
    </row>
    <row r="58" spans="1:26" x14ac:dyDescent="0.2">
      <c r="A58" s="1" t="s">
        <v>132</v>
      </c>
      <c r="C58" s="7">
        <v>0.35398388008208664</v>
      </c>
      <c r="D58" s="6">
        <v>0.70648068286589538</v>
      </c>
      <c r="E58" s="7">
        <v>1.0041043333432471</v>
      </c>
      <c r="F58" s="2">
        <v>0.6881896320970764</v>
      </c>
      <c r="G58" s="2">
        <v>0.11912507193357658</v>
      </c>
      <c r="H58" s="4" t="s">
        <v>47</v>
      </c>
      <c r="I58" s="1" t="s">
        <v>132</v>
      </c>
    </row>
    <row r="59" spans="1:26" x14ac:dyDescent="0.2">
      <c r="A59" s="1" t="s">
        <v>133</v>
      </c>
      <c r="B59" s="2">
        <v>1.01500885615736</v>
      </c>
      <c r="C59" s="2">
        <v>0.46275752773375595</v>
      </c>
      <c r="D59" s="2">
        <v>1.0459587955625991</v>
      </c>
      <c r="E59" s="2">
        <v>0.37811130791460801</v>
      </c>
      <c r="F59" s="2">
        <v>0.72545912184208072</v>
      </c>
      <c r="G59" s="2">
        <v>0.18166562880646397</v>
      </c>
      <c r="H59" s="4" t="s">
        <v>134</v>
      </c>
      <c r="I59" s="1" t="s">
        <v>133</v>
      </c>
    </row>
    <row r="60" spans="1:26" x14ac:dyDescent="0.2">
      <c r="A60" s="1" t="s">
        <v>135</v>
      </c>
      <c r="C60" s="7">
        <v>1.0693870267376497</v>
      </c>
      <c r="D60" s="6">
        <v>0.63991910299497368</v>
      </c>
      <c r="E60" s="7">
        <v>0.49585105433780446</v>
      </c>
      <c r="F60" s="2">
        <v>0.73505239469014261</v>
      </c>
      <c r="G60" s="2">
        <v>0.1316319538092614</v>
      </c>
      <c r="H60" s="4" t="s">
        <v>136</v>
      </c>
      <c r="I60" s="1" t="s">
        <v>135</v>
      </c>
    </row>
    <row r="61" spans="1:26" x14ac:dyDescent="0.2">
      <c r="A61" s="1" t="s">
        <v>137</v>
      </c>
      <c r="B61" s="2">
        <v>0.90239582362263449</v>
      </c>
      <c r="C61" s="2">
        <v>0.89456511606227274</v>
      </c>
      <c r="D61" s="2">
        <v>0.69767875454460704</v>
      </c>
      <c r="E61" s="2">
        <v>0.46723221776824836</v>
      </c>
      <c r="F61" s="2">
        <v>0.74046797799944064</v>
      </c>
      <c r="G61" s="2">
        <v>0.16638731276311264</v>
      </c>
      <c r="H61" s="4" t="s">
        <v>138</v>
      </c>
      <c r="I61" s="1" t="s">
        <v>137</v>
      </c>
    </row>
    <row r="62" spans="1:26" x14ac:dyDescent="0.2">
      <c r="A62" s="1" t="s">
        <v>139</v>
      </c>
      <c r="B62" s="2">
        <v>0.97995711755383608</v>
      </c>
      <c r="C62" s="7">
        <v>0.84720797986389484</v>
      </c>
      <c r="D62" s="6">
        <v>0.66486436095832946</v>
      </c>
      <c r="E62" s="7">
        <v>0.61638855225132838</v>
      </c>
      <c r="F62" s="2">
        <v>0.77710450265684716</v>
      </c>
      <c r="G62" s="2">
        <v>0.19487154469370682</v>
      </c>
      <c r="H62" s="4" t="s">
        <v>140</v>
      </c>
      <c r="I62" s="1" t="s">
        <v>139</v>
      </c>
    </row>
    <row r="63" spans="1:26" x14ac:dyDescent="0.2">
      <c r="A63" s="1" t="s">
        <v>141</v>
      </c>
      <c r="C63" s="2">
        <v>0.73405109597596885</v>
      </c>
      <c r="D63" s="2">
        <v>1.0143354251553995</v>
      </c>
      <c r="E63" s="2">
        <v>0.62329357880022607</v>
      </c>
      <c r="F63" s="2">
        <v>0.79056003331053148</v>
      </c>
      <c r="G63" s="2">
        <v>0.1059152388993795</v>
      </c>
      <c r="H63" s="4" t="s">
        <v>142</v>
      </c>
      <c r="I63" s="1" t="s">
        <v>141</v>
      </c>
    </row>
    <row r="64" spans="1:26" x14ac:dyDescent="0.2">
      <c r="A64" s="1" t="s">
        <v>143</v>
      </c>
      <c r="B64" s="2">
        <v>0.82371585718280971</v>
      </c>
      <c r="C64" s="2">
        <v>0.81663093129486342</v>
      </c>
      <c r="D64" s="2">
        <v>0.84832665237251792</v>
      </c>
      <c r="E64" s="2">
        <v>0.70513657126876106</v>
      </c>
      <c r="F64" s="2">
        <v>0.79845250302973803</v>
      </c>
      <c r="G64" s="2">
        <v>0.20951238866144822</v>
      </c>
      <c r="H64" s="4" t="s">
        <v>144</v>
      </c>
      <c r="I64" s="1" t="s">
        <v>143</v>
      </c>
    </row>
    <row r="65" spans="1:9" x14ac:dyDescent="0.2">
      <c r="A65" s="1" t="s">
        <v>104</v>
      </c>
      <c r="C65" s="2">
        <v>0.83469648752342152</v>
      </c>
      <c r="D65" s="2">
        <v>0.86512208904618859</v>
      </c>
      <c r="E65" s="2">
        <v>0.70680783987151652</v>
      </c>
      <c r="F65" s="2">
        <v>0.80220880548037554</v>
      </c>
      <c r="G65" s="3">
        <v>2.1796239880217849E-2</v>
      </c>
      <c r="H65" s="4" t="s">
        <v>105</v>
      </c>
      <c r="I65" s="1" t="s">
        <v>104</v>
      </c>
    </row>
    <row r="66" spans="1:9" x14ac:dyDescent="0.2">
      <c r="A66" s="1" t="s">
        <v>145</v>
      </c>
      <c r="C66" s="2">
        <v>0.89813520506795941</v>
      </c>
      <c r="D66" s="2">
        <v>0.92406983314992708</v>
      </c>
      <c r="E66" s="2">
        <v>0.59932189275198522</v>
      </c>
      <c r="F66" s="2">
        <v>0.80717564365662398</v>
      </c>
      <c r="G66" s="2">
        <v>0.10152629467837959</v>
      </c>
      <c r="H66" s="4" t="s">
        <v>146</v>
      </c>
      <c r="I66" s="1" t="s">
        <v>145</v>
      </c>
    </row>
    <row r="67" spans="1:9" x14ac:dyDescent="0.2">
      <c r="A67" s="1" t="s">
        <v>147</v>
      </c>
      <c r="C67" s="2">
        <v>0.86146387889242482</v>
      </c>
      <c r="D67" s="2">
        <v>0.94146863753977927</v>
      </c>
      <c r="E67" s="2">
        <v>0.62823067543050892</v>
      </c>
      <c r="F67" s="2">
        <v>0.81038773062090441</v>
      </c>
      <c r="G67" s="2">
        <v>8.8896879269575679E-2</v>
      </c>
      <c r="H67" s="4" t="s">
        <v>148</v>
      </c>
      <c r="I67" s="1" t="s">
        <v>147</v>
      </c>
    </row>
    <row r="68" spans="1:9" x14ac:dyDescent="0.2">
      <c r="A68" s="1" t="s">
        <v>106</v>
      </c>
      <c r="C68" s="2">
        <v>0.8568539392677631</v>
      </c>
      <c r="D68" s="2">
        <v>0.90369687416351907</v>
      </c>
      <c r="E68" s="2">
        <v>0.70936561282455457</v>
      </c>
      <c r="F68" s="2">
        <v>0.82330547541861221</v>
      </c>
      <c r="G68" s="3">
        <v>4.2536525150001642E-2</v>
      </c>
      <c r="H68" s="4" t="s">
        <v>107</v>
      </c>
      <c r="I68" s="1" t="s">
        <v>106</v>
      </c>
    </row>
    <row r="69" spans="1:9" x14ac:dyDescent="0.2">
      <c r="A69" s="1" t="s">
        <v>149</v>
      </c>
      <c r="C69" s="2">
        <v>0.88594117122208016</v>
      </c>
      <c r="D69" s="2">
        <v>1.0292359396841448</v>
      </c>
      <c r="E69" s="2">
        <v>0.59854861255688074</v>
      </c>
      <c r="F69" s="2">
        <v>0.83790857448770184</v>
      </c>
      <c r="G69" s="2">
        <v>0.16423234588870692</v>
      </c>
      <c r="H69" s="4" t="s">
        <v>150</v>
      </c>
      <c r="I69" s="1" t="s">
        <v>149</v>
      </c>
    </row>
    <row r="70" spans="1:9" x14ac:dyDescent="0.2">
      <c r="A70" s="1" t="s">
        <v>151</v>
      </c>
      <c r="C70" s="2">
        <v>1.0685245219046486</v>
      </c>
      <c r="D70" s="2">
        <v>0.89560717366088693</v>
      </c>
      <c r="E70" s="2">
        <v>0.58864467775034945</v>
      </c>
      <c r="F70" s="2">
        <v>0.85092545777196171</v>
      </c>
      <c r="G70" s="2">
        <v>0.19972935088985089</v>
      </c>
      <c r="H70" s="4" t="s">
        <v>152</v>
      </c>
      <c r="I70" s="1" t="s">
        <v>151</v>
      </c>
    </row>
    <row r="71" spans="1:9" x14ac:dyDescent="0.2">
      <c r="A71" s="1" t="s">
        <v>153</v>
      </c>
      <c r="C71" s="2">
        <v>1.408619100020819</v>
      </c>
      <c r="D71" s="2">
        <v>0.4991821074859471</v>
      </c>
      <c r="E71" s="2">
        <v>0.66070844362489967</v>
      </c>
      <c r="F71" s="2">
        <v>0.85616988371055525</v>
      </c>
      <c r="G71" s="2">
        <v>0.32947513533712791</v>
      </c>
      <c r="H71" s="4" t="s">
        <v>154</v>
      </c>
      <c r="I71" s="1" t="s">
        <v>153</v>
      </c>
    </row>
    <row r="72" spans="1:9" x14ac:dyDescent="0.2">
      <c r="A72" s="1" t="s">
        <v>155</v>
      </c>
      <c r="C72" s="2">
        <v>0.75894476994914195</v>
      </c>
      <c r="D72" s="2">
        <v>1.1622401332421259</v>
      </c>
      <c r="E72" s="2">
        <v>0.70627249204413645</v>
      </c>
      <c r="F72" s="2">
        <v>0.87581913174513482</v>
      </c>
      <c r="G72" s="2">
        <v>0.23994200164584423</v>
      </c>
      <c r="H72" s="4" t="s">
        <v>156</v>
      </c>
      <c r="I72" s="1" t="s">
        <v>155</v>
      </c>
    </row>
    <row r="73" spans="1:9" x14ac:dyDescent="0.2">
      <c r="A73" s="1" t="s">
        <v>108</v>
      </c>
      <c r="C73" s="2">
        <v>0.80554977247717341</v>
      </c>
      <c r="D73" s="2">
        <v>0.91910299497367876</v>
      </c>
      <c r="E73" s="2">
        <v>0.90435118817476134</v>
      </c>
      <c r="F73" s="2">
        <v>0.87633465187520443</v>
      </c>
      <c r="G73" s="3">
        <v>2.797983034626091E-2</v>
      </c>
      <c r="H73" s="4" t="s">
        <v>109</v>
      </c>
      <c r="I73" s="1" t="s">
        <v>108</v>
      </c>
    </row>
    <row r="74" spans="1:9" x14ac:dyDescent="0.2">
      <c r="A74" s="1" t="s">
        <v>157</v>
      </c>
      <c r="C74" s="2">
        <v>1.2197900246854831</v>
      </c>
      <c r="D74" s="2">
        <v>0.78386818546828063</v>
      </c>
      <c r="E74" s="2">
        <v>0.68842756446480091</v>
      </c>
      <c r="F74" s="2">
        <v>0.89736192487285493</v>
      </c>
      <c r="G74" s="2">
        <v>0.29749090551560425</v>
      </c>
      <c r="H74" s="4" t="s">
        <v>158</v>
      </c>
      <c r="I74" s="1" t="s">
        <v>157</v>
      </c>
    </row>
    <row r="75" spans="1:9" x14ac:dyDescent="0.2">
      <c r="A75" s="1" t="s">
        <v>58</v>
      </c>
      <c r="C75" s="2">
        <v>0.51060286113672193</v>
      </c>
      <c r="D75" s="2">
        <v>0.84617672426612733</v>
      </c>
      <c r="E75" s="2">
        <v>1.3376855128929601</v>
      </c>
      <c r="F75" s="2">
        <v>0.89815503276526987</v>
      </c>
      <c r="G75" s="3">
        <v>0.35652880806006948</v>
      </c>
      <c r="H75" s="4" t="s">
        <v>59</v>
      </c>
      <c r="I75" s="1" t="s">
        <v>58</v>
      </c>
    </row>
    <row r="76" spans="1:9" x14ac:dyDescent="0.2">
      <c r="A76" s="1" t="s">
        <v>159</v>
      </c>
      <c r="B76" s="2">
        <v>1.2629812622354806</v>
      </c>
      <c r="C76" s="2">
        <v>0.82520742052764051</v>
      </c>
      <c r="D76" s="2">
        <v>1.0489419222522607</v>
      </c>
      <c r="E76" s="2">
        <v>0.71557751468257669</v>
      </c>
      <c r="F76" s="2">
        <v>0.96317702992448961</v>
      </c>
      <c r="G76" s="2">
        <v>0.44376128974867746</v>
      </c>
      <c r="H76" s="4" t="s">
        <v>160</v>
      </c>
      <c r="I76" s="1" t="s">
        <v>159</v>
      </c>
    </row>
    <row r="77" spans="1:9" x14ac:dyDescent="0.2">
      <c r="A77" s="1" t="s">
        <v>11</v>
      </c>
      <c r="C77" s="2">
        <v>0.89834339588971834</v>
      </c>
      <c r="D77" s="2">
        <v>1.1611991791333314</v>
      </c>
      <c r="E77" s="2">
        <v>0.87808940308717243</v>
      </c>
      <c r="F77" s="2">
        <v>0.97921065937007401</v>
      </c>
      <c r="G77" s="3">
        <v>0.42107876655341425</v>
      </c>
      <c r="H77" s="4" t="s">
        <v>12</v>
      </c>
      <c r="I77" s="1" t="s">
        <v>11</v>
      </c>
    </row>
    <row r="78" spans="1:9" x14ac:dyDescent="0.2">
      <c r="A78" s="1" t="s">
        <v>161</v>
      </c>
      <c r="C78" s="2">
        <v>0.96353686464622434</v>
      </c>
      <c r="D78" s="2">
        <v>0.88418642001011216</v>
      </c>
      <c r="E78" s="2">
        <v>1.2180055319275496</v>
      </c>
      <c r="F78" s="2">
        <v>1.0219096055279622</v>
      </c>
      <c r="G78" s="2">
        <v>0.42448163118735643</v>
      </c>
      <c r="H78" s="4" t="s">
        <v>162</v>
      </c>
      <c r="I78" s="1" t="s">
        <v>161</v>
      </c>
    </row>
    <row r="79" spans="1:9" x14ac:dyDescent="0.2">
      <c r="A79" s="1" t="s">
        <v>163</v>
      </c>
      <c r="C79" s="2">
        <v>1.0594218967562272</v>
      </c>
      <c r="D79" s="2">
        <v>1.2781831777628798</v>
      </c>
      <c r="E79" s="2">
        <v>0.72845650043834775</v>
      </c>
      <c r="F79" s="2">
        <v>1.0220205249858183</v>
      </c>
      <c r="G79" s="2">
        <v>0.4650978334710904</v>
      </c>
      <c r="H79" s="4" t="s">
        <v>164</v>
      </c>
      <c r="I79" s="1" t="s">
        <v>163</v>
      </c>
    </row>
    <row r="80" spans="1:9" x14ac:dyDescent="0.2">
      <c r="A80" s="1" t="s">
        <v>165</v>
      </c>
      <c r="B80" s="2">
        <v>1.0489419222522607</v>
      </c>
      <c r="C80" s="2">
        <v>1.1067400018644542</v>
      </c>
      <c r="D80" s="2">
        <v>1.0593828656660762</v>
      </c>
      <c r="E80" s="2">
        <v>1.0664677915540226</v>
      </c>
      <c r="F80" s="2">
        <v>1.0703831453342034</v>
      </c>
      <c r="G80" s="2">
        <v>0.38243671239810489</v>
      </c>
      <c r="H80" s="4" t="s">
        <v>166</v>
      </c>
      <c r="I80" s="1" t="s">
        <v>165</v>
      </c>
    </row>
    <row r="81" spans="1:9" x14ac:dyDescent="0.2">
      <c r="A81" s="1" t="s">
        <v>167</v>
      </c>
      <c r="C81" s="2">
        <v>0.88864765190494599</v>
      </c>
      <c r="D81" s="2">
        <v>1.4255420396752223</v>
      </c>
      <c r="E81" s="2">
        <v>0.89733218332688935</v>
      </c>
      <c r="F81" s="2">
        <v>1.0705072916356859</v>
      </c>
      <c r="G81" s="2">
        <v>0.36506481238900762</v>
      </c>
      <c r="H81" s="4" t="s">
        <v>168</v>
      </c>
      <c r="I81" s="1" t="s">
        <v>167</v>
      </c>
    </row>
    <row r="82" spans="1:9" x14ac:dyDescent="0.2">
      <c r="A82" s="1" t="s">
        <v>169</v>
      </c>
      <c r="C82" s="2">
        <v>1.2647592421854088</v>
      </c>
      <c r="D82" s="2">
        <v>1.0613865508729143</v>
      </c>
      <c r="E82" s="2">
        <v>0.91407667370549917</v>
      </c>
      <c r="F82" s="2">
        <v>1.0800741555879407</v>
      </c>
      <c r="G82" s="2">
        <v>0.25733999629384624</v>
      </c>
      <c r="H82" s="4" t="s">
        <v>170</v>
      </c>
      <c r="I82" s="1" t="s">
        <v>169</v>
      </c>
    </row>
    <row r="83" spans="1:9" x14ac:dyDescent="0.2">
      <c r="A83" s="1" t="s">
        <v>171</v>
      </c>
      <c r="C83" s="2">
        <v>1.5012342741575706</v>
      </c>
      <c r="D83" s="2">
        <v>0.89777830651637269</v>
      </c>
      <c r="E83" s="2">
        <v>0.84385688368081369</v>
      </c>
      <c r="F83" s="2">
        <v>1.0809564881182523</v>
      </c>
      <c r="G83" s="2">
        <v>0.36908891028628321</v>
      </c>
      <c r="H83" s="4" t="s">
        <v>172</v>
      </c>
      <c r="I83" s="1" t="s">
        <v>171</v>
      </c>
    </row>
    <row r="84" spans="1:9" x14ac:dyDescent="0.2">
      <c r="A84" s="1" t="s">
        <v>173</v>
      </c>
      <c r="C84" s="2">
        <v>1.23876513101151</v>
      </c>
      <c r="D84" s="2">
        <v>1.2200874401451387</v>
      </c>
      <c r="E84" s="2">
        <v>0.84602801653629955</v>
      </c>
      <c r="F84" s="2">
        <v>1.1016268625643162</v>
      </c>
      <c r="G84" s="2">
        <v>0.2554755264059303</v>
      </c>
      <c r="H84" s="4" t="s">
        <v>174</v>
      </c>
      <c r="I84" s="1" t="s">
        <v>173</v>
      </c>
    </row>
    <row r="85" spans="1:9" x14ac:dyDescent="0.2">
      <c r="A85" s="1" t="s">
        <v>175</v>
      </c>
      <c r="C85" s="2">
        <v>2.4305683609434019</v>
      </c>
      <c r="D85" s="2">
        <v>0.72792433750706365</v>
      </c>
      <c r="E85" s="2">
        <v>0.84822889093775089</v>
      </c>
      <c r="F85" s="2">
        <v>1.3355738631294054</v>
      </c>
      <c r="G85" s="2">
        <v>0.30153161086698643</v>
      </c>
      <c r="H85" s="4" t="s">
        <v>176</v>
      </c>
      <c r="I85" s="1" t="s">
        <v>175</v>
      </c>
    </row>
    <row r="86" spans="1:9" x14ac:dyDescent="0.2">
      <c r="H8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86"/>
  <sheetViews>
    <sheetView topLeftCell="I1" workbookViewId="0"/>
  </sheetViews>
  <sheetFormatPr defaultColWidth="12.5703125" defaultRowHeight="15.75" customHeight="1" x14ac:dyDescent="0.2"/>
  <cols>
    <col min="1" max="8" width="12.5703125" hidden="1"/>
  </cols>
  <sheetData>
    <row r="1" spans="1:17" x14ac:dyDescent="0.2">
      <c r="A1" s="1" t="s">
        <v>9</v>
      </c>
      <c r="C1" s="6">
        <v>8.4704244237017168E-3</v>
      </c>
      <c r="D1" s="2">
        <v>6.1923057088339957E-2</v>
      </c>
      <c r="E1" s="6">
        <v>3.4732607910886497E-2</v>
      </c>
      <c r="F1" s="2">
        <v>3.5042029807642719E-2</v>
      </c>
      <c r="G1" s="3">
        <v>1.5048738202846709E-2</v>
      </c>
      <c r="H1" s="4" t="s">
        <v>10</v>
      </c>
      <c r="I1" s="1" t="s">
        <v>9</v>
      </c>
      <c r="J1" s="5">
        <f t="shared" ref="J1:N1" si="0">B1*100</f>
        <v>0</v>
      </c>
      <c r="K1" s="5">
        <f t="shared" si="0"/>
        <v>0.84704244237017168</v>
      </c>
      <c r="L1" s="5">
        <f t="shared" si="0"/>
        <v>6.1923057088339961</v>
      </c>
      <c r="M1" s="5">
        <f t="shared" si="0"/>
        <v>3.4732607910886495</v>
      </c>
      <c r="N1" s="5">
        <f t="shared" si="0"/>
        <v>3.5042029807642718</v>
      </c>
      <c r="O1" s="3">
        <v>1.5048738202846709E-2</v>
      </c>
      <c r="P1" s="4" t="s">
        <v>10</v>
      </c>
      <c r="Q1" s="1" t="s">
        <v>9</v>
      </c>
    </row>
    <row r="2" spans="1:17" x14ac:dyDescent="0.2">
      <c r="A2" s="1" t="s">
        <v>13</v>
      </c>
      <c r="C2" s="6">
        <v>8.5091021607962454E-3</v>
      </c>
      <c r="D2" s="2">
        <v>5.8132638853076173E-2</v>
      </c>
      <c r="E2" s="6">
        <v>4.5407663348976328E-2</v>
      </c>
      <c r="F2" s="2">
        <v>3.7349801454282912E-2</v>
      </c>
      <c r="G2" s="3">
        <v>1.514730427431185E-2</v>
      </c>
      <c r="H2" s="4" t="s">
        <v>14</v>
      </c>
      <c r="I2" s="1" t="s">
        <v>13</v>
      </c>
      <c r="J2" s="5">
        <f t="shared" ref="J2:N2" si="1">B2*100</f>
        <v>0</v>
      </c>
      <c r="K2" s="5">
        <f t="shared" si="1"/>
        <v>0.85091021607962458</v>
      </c>
      <c r="L2" s="5">
        <f t="shared" si="1"/>
        <v>5.8132638853076175</v>
      </c>
      <c r="M2" s="5">
        <f t="shared" si="1"/>
        <v>4.5407663348976328</v>
      </c>
      <c r="N2" s="5">
        <f t="shared" si="1"/>
        <v>3.7349801454282914</v>
      </c>
      <c r="O2" s="3">
        <v>1.514730427431185E-2</v>
      </c>
      <c r="P2" s="4" t="s">
        <v>14</v>
      </c>
      <c r="Q2" s="1" t="s">
        <v>13</v>
      </c>
    </row>
    <row r="3" spans="1:17" x14ac:dyDescent="0.2">
      <c r="A3" s="1" t="s">
        <v>15</v>
      </c>
      <c r="C3" s="2">
        <v>6.695116291062865E-2</v>
      </c>
      <c r="D3" s="2">
        <v>5.2408333763085971E-2</v>
      </c>
      <c r="E3" s="2">
        <v>2.6068794801712137E-2</v>
      </c>
      <c r="F3" s="2">
        <v>4.8476097158475583E-2</v>
      </c>
      <c r="G3" s="3">
        <v>1.5628549101484632E-2</v>
      </c>
      <c r="H3" s="4" t="s">
        <v>16</v>
      </c>
      <c r="I3" s="1" t="s">
        <v>15</v>
      </c>
      <c r="J3" s="5">
        <f t="shared" ref="J3:N3" si="2">B3*100</f>
        <v>0</v>
      </c>
      <c r="K3" s="5">
        <f t="shared" si="2"/>
        <v>6.695116291062865</v>
      </c>
      <c r="L3" s="5">
        <f t="shared" si="2"/>
        <v>5.240833376308597</v>
      </c>
      <c r="M3" s="5">
        <f t="shared" si="2"/>
        <v>2.6068794801712136</v>
      </c>
      <c r="N3" s="5">
        <f t="shared" si="2"/>
        <v>4.8476097158475584</v>
      </c>
      <c r="O3" s="3">
        <v>1.5628549101484632E-2</v>
      </c>
      <c r="P3" s="4" t="s">
        <v>16</v>
      </c>
      <c r="Q3" s="1" t="s">
        <v>15</v>
      </c>
    </row>
    <row r="4" spans="1:17" x14ac:dyDescent="0.2">
      <c r="A4" s="1" t="s">
        <v>17</v>
      </c>
      <c r="C4" s="7">
        <v>4.2236088907225001E-2</v>
      </c>
      <c r="D4" s="6">
        <v>6.2541900881852408E-2</v>
      </c>
      <c r="E4" s="7">
        <v>6.5984219483265438E-2</v>
      </c>
      <c r="F4" s="2">
        <v>5.6920736424114278E-2</v>
      </c>
      <c r="G4" s="3">
        <v>1.6056726718572192E-2</v>
      </c>
      <c r="H4" s="4" t="s">
        <v>18</v>
      </c>
      <c r="I4" s="1" t="s">
        <v>17</v>
      </c>
      <c r="J4" s="5">
        <f t="shared" ref="J4:N4" si="3">B4*100</f>
        <v>0</v>
      </c>
      <c r="K4" s="5">
        <f t="shared" si="3"/>
        <v>4.2236088907224998</v>
      </c>
      <c r="L4" s="5">
        <f t="shared" si="3"/>
        <v>6.2541900881852408</v>
      </c>
      <c r="M4" s="5">
        <f t="shared" si="3"/>
        <v>6.5984219483265436</v>
      </c>
      <c r="N4" s="5">
        <f t="shared" si="3"/>
        <v>5.6920736424114278</v>
      </c>
      <c r="O4" s="3">
        <v>1.6056726718572192E-2</v>
      </c>
      <c r="P4" s="4" t="s">
        <v>18</v>
      </c>
      <c r="Q4" s="1" t="s">
        <v>17</v>
      </c>
    </row>
    <row r="5" spans="1:17" x14ac:dyDescent="0.2">
      <c r="A5" s="1" t="s">
        <v>19</v>
      </c>
      <c r="C5" s="2">
        <v>2.3864163787324016E-2</v>
      </c>
      <c r="D5" s="2">
        <v>7.9830849363106596E-2</v>
      </c>
      <c r="E5" s="2">
        <v>8.354391212418133E-2</v>
      </c>
      <c r="F5" s="2">
        <v>6.2412975091537308E-2</v>
      </c>
      <c r="G5" s="3">
        <v>1.5676277574816568E-2</v>
      </c>
      <c r="H5" s="4" t="s">
        <v>20</v>
      </c>
      <c r="I5" s="1" t="s">
        <v>19</v>
      </c>
      <c r="J5" s="5">
        <f t="shared" ref="J5:N5" si="4">B5*100</f>
        <v>0</v>
      </c>
      <c r="K5" s="5">
        <f t="shared" si="4"/>
        <v>2.3864163787324015</v>
      </c>
      <c r="L5" s="5">
        <f t="shared" si="4"/>
        <v>7.98308493631066</v>
      </c>
      <c r="M5" s="5">
        <f t="shared" si="4"/>
        <v>8.3543912124181325</v>
      </c>
      <c r="N5" s="5">
        <f t="shared" si="4"/>
        <v>6.241297509153731</v>
      </c>
      <c r="O5" s="3">
        <v>1.5676277574816568E-2</v>
      </c>
      <c r="P5" s="4" t="s">
        <v>20</v>
      </c>
      <c r="Q5" s="1" t="s">
        <v>19</v>
      </c>
    </row>
    <row r="6" spans="1:17" x14ac:dyDescent="0.2">
      <c r="A6" s="1" t="s">
        <v>21</v>
      </c>
      <c r="C6" s="7">
        <v>4.217351217916307E-2</v>
      </c>
      <c r="D6" s="6">
        <v>0.16128840377122802</v>
      </c>
      <c r="E6" s="7">
        <v>0.20135026618683638</v>
      </c>
      <c r="F6" s="2">
        <v>0.13493739404574251</v>
      </c>
      <c r="G6" s="3">
        <v>6.3344844144849549E-4</v>
      </c>
      <c r="H6" s="4" t="s">
        <v>22</v>
      </c>
      <c r="I6" s="1" t="s">
        <v>21</v>
      </c>
      <c r="J6" s="5">
        <f t="shared" ref="J6:N6" si="5">B6*100</f>
        <v>0</v>
      </c>
      <c r="K6" s="5">
        <f t="shared" si="5"/>
        <v>4.2173512179163071</v>
      </c>
      <c r="L6" s="5">
        <f t="shared" si="5"/>
        <v>16.128840377122803</v>
      </c>
      <c r="M6" s="5">
        <f t="shared" si="5"/>
        <v>20.135026618683639</v>
      </c>
      <c r="N6" s="5">
        <f t="shared" si="5"/>
        <v>13.493739404574251</v>
      </c>
      <c r="O6" s="3">
        <v>6.3344844144849549E-4</v>
      </c>
      <c r="P6" s="4" t="s">
        <v>22</v>
      </c>
      <c r="Q6" s="1" t="s">
        <v>21</v>
      </c>
    </row>
    <row r="7" spans="1:17" x14ac:dyDescent="0.2">
      <c r="A7" s="1" t="s">
        <v>23</v>
      </c>
      <c r="C7" s="2">
        <v>5.0513124645454079E-2</v>
      </c>
      <c r="D7" s="2">
        <v>0.26370481151049457</v>
      </c>
      <c r="E7" s="2">
        <v>0.10330823577948534</v>
      </c>
      <c r="F7" s="2">
        <v>0.13917539064514467</v>
      </c>
      <c r="G7" s="3">
        <v>1.3490601707253962E-2</v>
      </c>
      <c r="H7" s="4" t="s">
        <v>24</v>
      </c>
      <c r="I7" s="1" t="s">
        <v>23</v>
      </c>
      <c r="J7" s="5">
        <f t="shared" ref="J7:N7" si="6">B7*100</f>
        <v>0</v>
      </c>
      <c r="K7" s="5">
        <f t="shared" si="6"/>
        <v>5.0513124645454077</v>
      </c>
      <c r="L7" s="5">
        <f t="shared" si="6"/>
        <v>26.370481151049457</v>
      </c>
      <c r="M7" s="5">
        <f t="shared" si="6"/>
        <v>10.330823577948534</v>
      </c>
      <c r="N7" s="5">
        <f t="shared" si="6"/>
        <v>13.917539064514466</v>
      </c>
      <c r="O7" s="3">
        <v>1.3490601707253962E-2</v>
      </c>
      <c r="P7" s="4" t="s">
        <v>24</v>
      </c>
      <c r="Q7" s="1" t="s">
        <v>23</v>
      </c>
    </row>
    <row r="8" spans="1:17" x14ac:dyDescent="0.2">
      <c r="A8" s="1" t="s">
        <v>25</v>
      </c>
      <c r="C8" s="7">
        <v>8.520705481924605E-2</v>
      </c>
      <c r="D8" s="6">
        <v>0.32644010107781962</v>
      </c>
      <c r="E8" s="7">
        <v>2.355474189056779E-2</v>
      </c>
      <c r="F8" s="2">
        <v>0.14506729926254447</v>
      </c>
      <c r="G8" s="3">
        <v>1.090291879780117E-2</v>
      </c>
      <c r="H8" s="4" t="s">
        <v>26</v>
      </c>
      <c r="I8" s="1" t="s">
        <v>25</v>
      </c>
      <c r="J8" s="5">
        <f t="shared" ref="J8:N8" si="7">B8*100</f>
        <v>0</v>
      </c>
      <c r="K8" s="5">
        <f t="shared" si="7"/>
        <v>8.5207054819246046</v>
      </c>
      <c r="L8" s="5">
        <f t="shared" si="7"/>
        <v>32.644010107781959</v>
      </c>
      <c r="M8" s="5">
        <f t="shared" si="7"/>
        <v>2.3554741890567792</v>
      </c>
      <c r="N8" s="5">
        <f t="shared" si="7"/>
        <v>14.506729926254447</v>
      </c>
      <c r="O8" s="3">
        <v>1.090291879780117E-2</v>
      </c>
      <c r="P8" s="4" t="s">
        <v>26</v>
      </c>
      <c r="Q8" s="1" t="s">
        <v>25</v>
      </c>
    </row>
    <row r="9" spans="1:17" x14ac:dyDescent="0.2">
      <c r="A9" s="1" t="s">
        <v>29</v>
      </c>
      <c r="C9" s="2">
        <v>0.26157753597029548</v>
      </c>
      <c r="D9" s="2">
        <v>0.24374709916971793</v>
      </c>
      <c r="E9" s="2">
        <v>1.3769274405652107E-2</v>
      </c>
      <c r="F9" s="2">
        <v>0.1730313031818885</v>
      </c>
      <c r="G9" s="3">
        <v>1.3025166798942079E-2</v>
      </c>
      <c r="H9" s="4" t="s">
        <v>30</v>
      </c>
      <c r="I9" s="1" t="s">
        <v>29</v>
      </c>
      <c r="J9" s="5">
        <f t="shared" ref="J9:N9" si="8">B9*100</f>
        <v>0</v>
      </c>
      <c r="K9" s="5">
        <f t="shared" si="8"/>
        <v>26.157753597029547</v>
      </c>
      <c r="L9" s="5">
        <f t="shared" si="8"/>
        <v>24.374709916971792</v>
      </c>
      <c r="M9" s="5">
        <f t="shared" si="8"/>
        <v>1.3769274405652108</v>
      </c>
      <c r="N9" s="5">
        <f t="shared" si="8"/>
        <v>17.303130318188849</v>
      </c>
      <c r="O9" s="3">
        <v>1.3025166798942079E-2</v>
      </c>
      <c r="P9" s="4" t="s">
        <v>30</v>
      </c>
      <c r="Q9" s="1" t="s">
        <v>29</v>
      </c>
    </row>
    <row r="10" spans="1:17" x14ac:dyDescent="0.2">
      <c r="A10" s="1" t="s">
        <v>31</v>
      </c>
      <c r="C10" s="7">
        <v>0.27871177350317161</v>
      </c>
      <c r="D10" s="2">
        <v>0.23117683461399618</v>
      </c>
      <c r="E10" s="7">
        <v>9.9015006961992672E-3</v>
      </c>
      <c r="F10" s="2">
        <v>0.17326336960445568</v>
      </c>
      <c r="G10" s="3">
        <v>1.2739573403717768E-2</v>
      </c>
      <c r="H10" s="4" t="s">
        <v>32</v>
      </c>
      <c r="I10" s="1" t="s">
        <v>31</v>
      </c>
      <c r="J10" s="5">
        <f t="shared" ref="J10:N10" si="9">B10*100</f>
        <v>0</v>
      </c>
      <c r="K10" s="5">
        <f t="shared" si="9"/>
        <v>27.871177350317161</v>
      </c>
      <c r="L10" s="5">
        <f t="shared" si="9"/>
        <v>23.117683461399618</v>
      </c>
      <c r="M10" s="5">
        <f t="shared" si="9"/>
        <v>0.99015006961992669</v>
      </c>
      <c r="N10" s="5">
        <f t="shared" si="9"/>
        <v>17.32633696044557</v>
      </c>
      <c r="O10" s="3">
        <v>1.2739573403717768E-2</v>
      </c>
      <c r="P10" s="4" t="s">
        <v>32</v>
      </c>
      <c r="Q10" s="1" t="s">
        <v>31</v>
      </c>
    </row>
    <row r="11" spans="1:17" x14ac:dyDescent="0.2">
      <c r="A11" s="1" t="s">
        <v>33</v>
      </c>
      <c r="B11" s="2">
        <v>0.22522606506945092</v>
      </c>
      <c r="C11" s="6">
        <v>0.20210683322457351</v>
      </c>
      <c r="D11" s="2">
        <v>3.244150275006992E-2</v>
      </c>
      <c r="E11" s="6">
        <v>0.24312482520742051</v>
      </c>
      <c r="F11" s="2">
        <v>0.17572480656287873</v>
      </c>
      <c r="G11" s="3">
        <v>1.4055389251916423E-2</v>
      </c>
      <c r="H11" s="4" t="s">
        <v>34</v>
      </c>
      <c r="I11" s="1" t="s">
        <v>33</v>
      </c>
      <c r="J11" s="5">
        <f t="shared" ref="J11:N11" si="10">B11*100</f>
        <v>22.522606506945092</v>
      </c>
      <c r="K11" s="5">
        <f t="shared" si="10"/>
        <v>20.210683322457353</v>
      </c>
      <c r="L11" s="5">
        <f t="shared" si="10"/>
        <v>3.2441502750069922</v>
      </c>
      <c r="M11" s="5">
        <f t="shared" si="10"/>
        <v>24.312482520742051</v>
      </c>
      <c r="N11" s="5">
        <f t="shared" si="10"/>
        <v>17.572480656287873</v>
      </c>
      <c r="O11" s="3">
        <v>1.4055389251916423E-2</v>
      </c>
      <c r="P11" s="4" t="s">
        <v>34</v>
      </c>
      <c r="Q11" s="1" t="s">
        <v>33</v>
      </c>
    </row>
    <row r="12" spans="1:17" x14ac:dyDescent="0.2">
      <c r="A12" s="1" t="s">
        <v>35</v>
      </c>
      <c r="C12" s="6">
        <v>0.18286834098293023</v>
      </c>
      <c r="D12" s="2">
        <v>0.20545613944613481</v>
      </c>
      <c r="E12" s="6">
        <v>0.13947191996286937</v>
      </c>
      <c r="F12" s="2">
        <v>0.17593213346397812</v>
      </c>
      <c r="G12" s="3">
        <v>2.0112831781392147E-2</v>
      </c>
      <c r="H12" s="4" t="s">
        <v>36</v>
      </c>
      <c r="I12" s="1" t="s">
        <v>35</v>
      </c>
      <c r="J12" s="5">
        <f t="shared" ref="J12:N12" si="11">B12*100</f>
        <v>0</v>
      </c>
      <c r="K12" s="5">
        <f t="shared" si="11"/>
        <v>18.286834098293024</v>
      </c>
      <c r="L12" s="5">
        <f t="shared" si="11"/>
        <v>20.545613944613482</v>
      </c>
      <c r="M12" s="5">
        <f t="shared" si="11"/>
        <v>13.947191996286938</v>
      </c>
      <c r="N12" s="5">
        <f t="shared" si="11"/>
        <v>17.593213346397814</v>
      </c>
      <c r="O12" s="3">
        <v>2.0112831781392147E-2</v>
      </c>
      <c r="P12" s="4" t="s">
        <v>36</v>
      </c>
      <c r="Q12" s="1" t="s">
        <v>35</v>
      </c>
    </row>
    <row r="13" spans="1:17" x14ac:dyDescent="0.2">
      <c r="A13" s="1" t="s">
        <v>38</v>
      </c>
      <c r="B13" s="2">
        <v>0.23007364594015103</v>
      </c>
      <c r="C13" s="2">
        <v>0.24797240607812063</v>
      </c>
      <c r="D13" s="2">
        <v>4.5492682017339421E-2</v>
      </c>
      <c r="E13" s="2">
        <v>0.26027780367297476</v>
      </c>
      <c r="F13" s="2">
        <v>0.19595413442714646</v>
      </c>
      <c r="G13" s="3">
        <v>1.4947036775603219E-2</v>
      </c>
      <c r="H13" s="4" t="s">
        <v>39</v>
      </c>
      <c r="I13" s="1" t="s">
        <v>38</v>
      </c>
      <c r="J13" s="5">
        <f t="shared" ref="J13:N13" si="12">B13*100</f>
        <v>23.007364594015105</v>
      </c>
      <c r="K13" s="5">
        <f t="shared" si="12"/>
        <v>24.797240607812064</v>
      </c>
      <c r="L13" s="5">
        <f t="shared" si="12"/>
        <v>4.5492682017339421</v>
      </c>
      <c r="M13" s="5">
        <f t="shared" si="12"/>
        <v>26.027780367297478</v>
      </c>
      <c r="N13" s="5">
        <f t="shared" si="12"/>
        <v>19.595413442714644</v>
      </c>
      <c r="O13" s="3">
        <v>1.4947036775603219E-2</v>
      </c>
      <c r="P13" s="4" t="s">
        <v>39</v>
      </c>
      <c r="Q13" s="1" t="s">
        <v>38</v>
      </c>
    </row>
    <row r="14" spans="1:17" x14ac:dyDescent="0.2">
      <c r="A14" s="1" t="s">
        <v>40</v>
      </c>
      <c r="B14" s="2">
        <v>0.14319008110375689</v>
      </c>
      <c r="C14" s="6">
        <v>0.24275193437121284</v>
      </c>
      <c r="D14" s="7">
        <v>0.36767036450079238</v>
      </c>
      <c r="E14" s="6">
        <v>4.1763773655262425E-2</v>
      </c>
      <c r="F14" s="2">
        <v>0.19884403840775614</v>
      </c>
      <c r="G14" s="3">
        <v>1.4019444521078178E-2</v>
      </c>
      <c r="H14" s="4" t="s">
        <v>41</v>
      </c>
      <c r="I14" s="1" t="s">
        <v>40</v>
      </c>
      <c r="J14" s="5">
        <f t="shared" ref="J14:N14" si="13">B14*100</f>
        <v>14.319008110375689</v>
      </c>
      <c r="K14" s="5">
        <f t="shared" si="13"/>
        <v>24.275193437121285</v>
      </c>
      <c r="L14" s="5">
        <f t="shared" si="13"/>
        <v>36.767036450079239</v>
      </c>
      <c r="M14" s="5">
        <f t="shared" si="13"/>
        <v>4.1763773655262426</v>
      </c>
      <c r="N14" s="5">
        <f t="shared" si="13"/>
        <v>19.884403840775615</v>
      </c>
      <c r="O14" s="3">
        <v>1.4019444521078178E-2</v>
      </c>
      <c r="P14" s="4" t="s">
        <v>41</v>
      </c>
      <c r="Q14" s="1" t="s">
        <v>40</v>
      </c>
    </row>
    <row r="15" spans="1:17" x14ac:dyDescent="0.2">
      <c r="A15" s="1" t="s">
        <v>42</v>
      </c>
      <c r="C15" s="2">
        <v>0.31638388943324225</v>
      </c>
      <c r="D15" s="2">
        <v>0.18194007529266154</v>
      </c>
      <c r="E15" s="2">
        <v>0.15432417100716828</v>
      </c>
      <c r="F15" s="2">
        <v>0.21754937857769069</v>
      </c>
      <c r="G15" s="3">
        <v>1.8697979303537709E-2</v>
      </c>
      <c r="H15" s="4" t="s">
        <v>43</v>
      </c>
      <c r="I15" s="1" t="s">
        <v>42</v>
      </c>
      <c r="J15" s="5">
        <f t="shared" ref="J15:N15" si="14">B15*100</f>
        <v>0</v>
      </c>
      <c r="K15" s="5">
        <f t="shared" si="14"/>
        <v>31.638388943324223</v>
      </c>
      <c r="L15" s="5">
        <f t="shared" si="14"/>
        <v>18.194007529266155</v>
      </c>
      <c r="M15" s="5">
        <f t="shared" si="14"/>
        <v>15.432417100716828</v>
      </c>
      <c r="N15" s="5">
        <f t="shared" si="14"/>
        <v>21.754937857769068</v>
      </c>
      <c r="O15" s="3">
        <v>1.8697979303537709E-2</v>
      </c>
      <c r="P15" s="4" t="s">
        <v>43</v>
      </c>
      <c r="Q15" s="1" t="s">
        <v>42</v>
      </c>
    </row>
    <row r="16" spans="1:17" x14ac:dyDescent="0.2">
      <c r="A16" s="1" t="s">
        <v>44</v>
      </c>
      <c r="C16" s="6">
        <v>0.29012170594605746</v>
      </c>
      <c r="D16" s="7">
        <v>0.24053684699087205</v>
      </c>
      <c r="E16" s="6">
        <v>0.18155329792171626</v>
      </c>
      <c r="F16" s="2">
        <v>0.23740395028621528</v>
      </c>
      <c r="G16" s="3">
        <v>2.2157157655176261E-2</v>
      </c>
      <c r="H16" s="4" t="s">
        <v>45</v>
      </c>
      <c r="I16" s="1" t="s">
        <v>44</v>
      </c>
      <c r="J16" s="5">
        <f t="shared" ref="J16:N16" si="15">B16*100</f>
        <v>0</v>
      </c>
      <c r="K16" s="5">
        <f t="shared" si="15"/>
        <v>29.012170594605745</v>
      </c>
      <c r="L16" s="5">
        <f t="shared" si="15"/>
        <v>24.053684699087206</v>
      </c>
      <c r="M16" s="5">
        <f t="shared" si="15"/>
        <v>18.155329792171628</v>
      </c>
      <c r="N16" s="5">
        <f t="shared" si="15"/>
        <v>23.740395028621528</v>
      </c>
      <c r="O16" s="3">
        <v>2.2157157655176261E-2</v>
      </c>
      <c r="P16" s="4" t="s">
        <v>45</v>
      </c>
      <c r="Q16" s="1" t="s">
        <v>44</v>
      </c>
    </row>
    <row r="17" spans="1:26" x14ac:dyDescent="0.2">
      <c r="A17" s="1" t="s">
        <v>46</v>
      </c>
      <c r="C17" s="2">
        <v>0.15768913413439226</v>
      </c>
      <c r="D17" s="2">
        <v>0.27221391367129083</v>
      </c>
      <c r="E17" s="2">
        <v>0.28397194574802742</v>
      </c>
      <c r="F17" s="2">
        <v>0.23795833118457019</v>
      </c>
      <c r="G17" s="3">
        <v>2.1098613963317327E-2</v>
      </c>
      <c r="H17" s="4" t="s">
        <v>47</v>
      </c>
      <c r="I17" s="1" t="s">
        <v>46</v>
      </c>
      <c r="J17" s="5">
        <f t="shared" ref="J17:N17" si="16">B17*100</f>
        <v>0</v>
      </c>
      <c r="K17" s="5">
        <f t="shared" si="16"/>
        <v>15.768913413439225</v>
      </c>
      <c r="L17" s="5">
        <f t="shared" si="16"/>
        <v>27.221391367129083</v>
      </c>
      <c r="M17" s="5">
        <f t="shared" si="16"/>
        <v>28.397194574802743</v>
      </c>
      <c r="N17" s="5">
        <f t="shared" si="16"/>
        <v>23.795833118457018</v>
      </c>
      <c r="O17" s="3">
        <v>2.1098613963317327E-2</v>
      </c>
      <c r="P17" s="4" t="s">
        <v>47</v>
      </c>
      <c r="Q17" s="1" t="s">
        <v>46</v>
      </c>
    </row>
    <row r="18" spans="1:26" x14ac:dyDescent="0.2">
      <c r="A18" s="1" t="s">
        <v>48</v>
      </c>
      <c r="C18" s="6">
        <v>0.1249290908153267</v>
      </c>
      <c r="D18" s="7">
        <v>0.3778041359393533</v>
      </c>
      <c r="E18" s="6">
        <v>0.21736888247124955</v>
      </c>
      <c r="F18" s="2">
        <v>0.24003403640864318</v>
      </c>
      <c r="G18" s="3">
        <v>1.6741964087471681E-2</v>
      </c>
      <c r="H18" s="4" t="s">
        <v>49</v>
      </c>
      <c r="I18" s="1" t="s">
        <v>48</v>
      </c>
      <c r="J18" s="5">
        <f t="shared" ref="J18:N18" si="17">B18*100</f>
        <v>0</v>
      </c>
      <c r="K18" s="5">
        <f t="shared" si="17"/>
        <v>12.49290908153267</v>
      </c>
      <c r="L18" s="5">
        <f t="shared" si="17"/>
        <v>37.780413593935329</v>
      </c>
      <c r="M18" s="5">
        <f t="shared" si="17"/>
        <v>21.736888247124956</v>
      </c>
      <c r="N18" s="5">
        <f t="shared" si="17"/>
        <v>24.003403640864317</v>
      </c>
      <c r="O18" s="3">
        <v>1.6741964087471681E-2</v>
      </c>
      <c r="P18" s="4" t="s">
        <v>49</v>
      </c>
      <c r="Q18" s="1" t="s">
        <v>48</v>
      </c>
    </row>
    <row r="19" spans="1:26" x14ac:dyDescent="0.2">
      <c r="A19" s="1" t="s">
        <v>50</v>
      </c>
      <c r="C19" s="2">
        <v>0.31661595585580943</v>
      </c>
      <c r="D19" s="2">
        <v>0.16128616368418339</v>
      </c>
      <c r="E19" s="2">
        <v>0.2435923882213398</v>
      </c>
      <c r="F19" s="2">
        <v>0.24049816925377754</v>
      </c>
      <c r="G19" s="3">
        <v>2.0630895713943193E-2</v>
      </c>
      <c r="H19" s="4" t="s">
        <v>51</v>
      </c>
      <c r="I19" s="1" t="s">
        <v>50</v>
      </c>
      <c r="J19" s="5">
        <f t="shared" ref="J19:N19" si="18">B19*100</f>
        <v>0</v>
      </c>
      <c r="K19" s="5">
        <f t="shared" si="18"/>
        <v>31.661595585580944</v>
      </c>
      <c r="L19" s="5">
        <f t="shared" si="18"/>
        <v>16.128616368418339</v>
      </c>
      <c r="M19" s="5">
        <f t="shared" si="18"/>
        <v>24.359238822133982</v>
      </c>
      <c r="N19" s="5">
        <f t="shared" si="18"/>
        <v>24.049816925377755</v>
      </c>
      <c r="O19" s="3">
        <v>2.0630895713943193E-2</v>
      </c>
      <c r="P19" s="4" t="s">
        <v>51</v>
      </c>
      <c r="Q19" s="1" t="s">
        <v>50</v>
      </c>
    </row>
    <row r="20" spans="1:26" x14ac:dyDescent="0.2">
      <c r="A20" s="1" t="s">
        <v>52</v>
      </c>
      <c r="C20" s="6">
        <v>0.41137641173740397</v>
      </c>
      <c r="D20" s="7">
        <v>0.32013562993141148</v>
      </c>
      <c r="E20" s="6">
        <v>1.1448610179980404E-2</v>
      </c>
      <c r="F20" s="2">
        <v>0.24765355061626529</v>
      </c>
      <c r="G20" s="3">
        <v>1.4320912962714864E-2</v>
      </c>
      <c r="H20" s="4" t="s">
        <v>53</v>
      </c>
      <c r="I20" s="1" t="s">
        <v>52</v>
      </c>
      <c r="J20" s="5">
        <f t="shared" ref="J20:N20" si="19">B20*100</f>
        <v>0</v>
      </c>
      <c r="K20" s="5">
        <f t="shared" si="19"/>
        <v>41.137641173740398</v>
      </c>
      <c r="L20" s="5">
        <f t="shared" si="19"/>
        <v>32.01356299314115</v>
      </c>
      <c r="M20" s="5">
        <f t="shared" si="19"/>
        <v>1.1448610179980403</v>
      </c>
      <c r="N20" s="5">
        <f t="shared" si="19"/>
        <v>24.765355061626529</v>
      </c>
      <c r="O20" s="3">
        <v>1.4320912962714864E-2</v>
      </c>
      <c r="P20" s="4" t="s">
        <v>53</v>
      </c>
      <c r="Q20" s="1" t="s">
        <v>52</v>
      </c>
    </row>
    <row r="21" spans="1:26" x14ac:dyDescent="0.2">
      <c r="A21" s="1" t="s">
        <v>54</v>
      </c>
      <c r="C21" s="2">
        <v>0.32141199525553094</v>
      </c>
      <c r="D21" s="2">
        <v>0.26645093084420607</v>
      </c>
      <c r="E21" s="2">
        <v>0.16132484142127793</v>
      </c>
      <c r="F21" s="2">
        <v>0.24972925584033831</v>
      </c>
      <c r="G21" s="3">
        <v>2.0870699209598147E-2</v>
      </c>
      <c r="H21" s="4" t="s">
        <v>55</v>
      </c>
      <c r="I21" s="1" t="s">
        <v>54</v>
      </c>
      <c r="J21" s="5">
        <f t="shared" ref="J21:N21" si="20">B21*100</f>
        <v>0</v>
      </c>
      <c r="K21" s="5">
        <f t="shared" si="20"/>
        <v>32.141199525553091</v>
      </c>
      <c r="L21" s="5">
        <f t="shared" si="20"/>
        <v>26.645093084420608</v>
      </c>
      <c r="M21" s="5">
        <f t="shared" si="20"/>
        <v>16.132484142127794</v>
      </c>
      <c r="N21" s="5">
        <f t="shared" si="20"/>
        <v>24.972925584033831</v>
      </c>
      <c r="O21" s="3">
        <v>2.0870699209598147E-2</v>
      </c>
      <c r="P21" s="4" t="s">
        <v>55</v>
      </c>
      <c r="Q21" s="1" t="s">
        <v>54</v>
      </c>
    </row>
    <row r="22" spans="1:26" x14ac:dyDescent="0.2">
      <c r="A22" s="1" t="s">
        <v>56</v>
      </c>
      <c r="C22" s="2">
        <v>0.34620442473312363</v>
      </c>
      <c r="D22" s="7">
        <v>0.31019545149811767</v>
      </c>
      <c r="E22" s="2">
        <v>0.10245732556340571</v>
      </c>
      <c r="F22" s="2">
        <v>0.25295240059821567</v>
      </c>
      <c r="G22" s="3">
        <v>1.7197516127414898E-2</v>
      </c>
      <c r="H22" s="4" t="s">
        <v>57</v>
      </c>
      <c r="I22" s="1" t="s">
        <v>56</v>
      </c>
      <c r="J22" s="5">
        <f t="shared" ref="J22:N22" si="21">B22*100</f>
        <v>0</v>
      </c>
      <c r="K22" s="5">
        <f t="shared" si="21"/>
        <v>34.620442473312366</v>
      </c>
      <c r="L22" s="5">
        <f t="shared" si="21"/>
        <v>31.019545149811766</v>
      </c>
      <c r="M22" s="5">
        <f t="shared" si="21"/>
        <v>10.245732556340572</v>
      </c>
      <c r="N22" s="5">
        <f t="shared" si="21"/>
        <v>25.295240059821566</v>
      </c>
      <c r="O22" s="3">
        <v>1.7197516127414898E-2</v>
      </c>
      <c r="P22" s="4" t="s">
        <v>57</v>
      </c>
      <c r="Q22" s="1" t="s">
        <v>56</v>
      </c>
    </row>
    <row r="23" spans="1:26" x14ac:dyDescent="0.2">
      <c r="A23" s="1" t="s">
        <v>60</v>
      </c>
      <c r="B23" s="2">
        <v>0.46201174606134054</v>
      </c>
      <c r="C23" s="2">
        <v>0.57387899692365063</v>
      </c>
      <c r="D23" s="6">
        <v>8.0917311457070942E-2</v>
      </c>
      <c r="E23" s="2">
        <v>1.9390323482800412E-2</v>
      </c>
      <c r="F23" s="2">
        <v>0.28404959448121564</v>
      </c>
      <c r="G23" s="3">
        <v>1.8389104539818041E-2</v>
      </c>
      <c r="H23" s="4" t="s">
        <v>61</v>
      </c>
      <c r="I23" s="1" t="s">
        <v>60</v>
      </c>
      <c r="J23" s="5">
        <f t="shared" ref="J23:N23" si="22">B23*100</f>
        <v>46.201174606134053</v>
      </c>
      <c r="K23" s="5">
        <f t="shared" si="22"/>
        <v>57.38789969236506</v>
      </c>
      <c r="L23" s="5">
        <f t="shared" si="22"/>
        <v>8.0917311457070937</v>
      </c>
      <c r="M23" s="5">
        <f t="shared" si="22"/>
        <v>1.9390323482800411</v>
      </c>
      <c r="N23" s="5">
        <f t="shared" si="22"/>
        <v>28.404959448121563</v>
      </c>
      <c r="O23" s="3">
        <v>1.8389104539818041E-2</v>
      </c>
      <c r="P23" s="4" t="s">
        <v>61</v>
      </c>
      <c r="Q23" s="1" t="s">
        <v>60</v>
      </c>
    </row>
    <row r="24" spans="1:26" x14ac:dyDescent="0.2">
      <c r="A24" s="9" t="s">
        <v>179</v>
      </c>
      <c r="C24" s="10">
        <v>0.42441080913826001</v>
      </c>
      <c r="D24" s="13">
        <v>0.3701072662575422</v>
      </c>
      <c r="E24" s="10">
        <v>7.3565055953792993E-2</v>
      </c>
      <c r="F24" s="10">
        <v>0.28936104378319838</v>
      </c>
      <c r="G24" s="10">
        <v>1.6940360354350016E-2</v>
      </c>
      <c r="H24" s="11" t="s">
        <v>180</v>
      </c>
      <c r="I24" s="9" t="s">
        <v>179</v>
      </c>
      <c r="J24" s="5">
        <f t="shared" ref="J24:N24" si="23">B24*100</f>
        <v>0</v>
      </c>
      <c r="K24" s="5">
        <f t="shared" si="23"/>
        <v>42.441080913825999</v>
      </c>
      <c r="L24" s="5">
        <f t="shared" si="23"/>
        <v>37.010726625754216</v>
      </c>
      <c r="M24" s="5">
        <f t="shared" si="23"/>
        <v>7.356505595379299</v>
      </c>
      <c r="N24" s="5">
        <f t="shared" si="23"/>
        <v>28.93610437831984</v>
      </c>
      <c r="O24" s="10">
        <v>1.6940360354350016E-2</v>
      </c>
      <c r="P24" s="11" t="s">
        <v>180</v>
      </c>
      <c r="Q24" s="9" t="s">
        <v>179</v>
      </c>
      <c r="R24" s="12"/>
      <c r="S24" s="12"/>
      <c r="T24" s="12"/>
      <c r="U24" s="12"/>
      <c r="V24" s="12"/>
      <c r="W24" s="12"/>
      <c r="X24" s="12"/>
      <c r="Y24" s="12"/>
      <c r="Z24" s="12"/>
    </row>
    <row r="25" spans="1:26" x14ac:dyDescent="0.2">
      <c r="A25" s="1" t="s">
        <v>62</v>
      </c>
      <c r="C25" s="2">
        <v>0.41949873652725495</v>
      </c>
      <c r="D25" s="2">
        <v>0.33792738899489455</v>
      </c>
      <c r="E25" s="2">
        <v>0.17675725852199475</v>
      </c>
      <c r="F25" s="2">
        <v>0.3113944613480481</v>
      </c>
      <c r="G25" s="3">
        <v>2.1462628760560629E-2</v>
      </c>
      <c r="H25" s="4" t="s">
        <v>63</v>
      </c>
      <c r="I25" s="1" t="s">
        <v>62</v>
      </c>
      <c r="J25" s="5">
        <f t="shared" ref="J25:N25" si="24">B25*100</f>
        <v>0</v>
      </c>
      <c r="K25" s="5">
        <f t="shared" si="24"/>
        <v>41.949873652725493</v>
      </c>
      <c r="L25" s="5">
        <f t="shared" si="24"/>
        <v>33.792738899489457</v>
      </c>
      <c r="M25" s="5">
        <f t="shared" si="24"/>
        <v>17.675725852199477</v>
      </c>
      <c r="N25" s="5">
        <f t="shared" si="24"/>
        <v>31.13944613480481</v>
      </c>
      <c r="O25" s="3">
        <v>2.1462628760560629E-2</v>
      </c>
      <c r="P25" s="4" t="s">
        <v>63</v>
      </c>
      <c r="Q25" s="1" t="s">
        <v>62</v>
      </c>
    </row>
    <row r="26" spans="1:26" x14ac:dyDescent="0.2">
      <c r="A26" s="1" t="s">
        <v>64</v>
      </c>
      <c r="C26" s="7">
        <v>0.40012119024289622</v>
      </c>
      <c r="D26" s="6">
        <v>0.33297663864679494</v>
      </c>
      <c r="E26" s="7">
        <v>0.26064927028002682</v>
      </c>
      <c r="F26" s="2">
        <v>0.33124903305657261</v>
      </c>
      <c r="G26" s="3">
        <v>2.7420745425815626E-2</v>
      </c>
      <c r="H26" s="4" t="s">
        <v>65</v>
      </c>
      <c r="I26" s="1" t="s">
        <v>64</v>
      </c>
      <c r="J26" s="5">
        <f t="shared" ref="J26:N26" si="25">B26*100</f>
        <v>0</v>
      </c>
      <c r="K26" s="5">
        <f t="shared" si="25"/>
        <v>40.012119024289625</v>
      </c>
      <c r="L26" s="5">
        <f t="shared" si="25"/>
        <v>33.297663864679492</v>
      </c>
      <c r="M26" s="5">
        <f t="shared" si="25"/>
        <v>26.064927028002682</v>
      </c>
      <c r="N26" s="5">
        <f t="shared" si="25"/>
        <v>33.124903305657263</v>
      </c>
      <c r="O26" s="3">
        <v>2.7420745425815626E-2</v>
      </c>
      <c r="P26" s="4" t="s">
        <v>65</v>
      </c>
      <c r="Q26" s="1" t="s">
        <v>64</v>
      </c>
    </row>
    <row r="27" spans="1:26" x14ac:dyDescent="0.2">
      <c r="A27" s="1" t="s">
        <v>66</v>
      </c>
      <c r="B27" s="2">
        <v>0.25468444112985922</v>
      </c>
      <c r="C27" s="2">
        <v>0.28861750722475993</v>
      </c>
      <c r="D27" s="2">
        <v>0.42882446163885524</v>
      </c>
      <c r="E27" s="2">
        <v>0.37289083620770019</v>
      </c>
      <c r="F27" s="2">
        <v>0.33625431155029367</v>
      </c>
      <c r="G27" s="3">
        <v>2.5651513240633261E-2</v>
      </c>
      <c r="H27" s="4" t="s">
        <v>67</v>
      </c>
      <c r="I27" s="1" t="s">
        <v>66</v>
      </c>
      <c r="J27" s="5">
        <f t="shared" ref="J27:N27" si="26">B27*100</f>
        <v>25.468444112985921</v>
      </c>
      <c r="K27" s="5">
        <f t="shared" si="26"/>
        <v>28.861750722475993</v>
      </c>
      <c r="L27" s="5">
        <f t="shared" si="26"/>
        <v>42.882446163885525</v>
      </c>
      <c r="M27" s="5">
        <f t="shared" si="26"/>
        <v>37.289083620770022</v>
      </c>
      <c r="N27" s="5">
        <f t="shared" si="26"/>
        <v>33.625431155029368</v>
      </c>
      <c r="O27" s="3">
        <v>2.5651513240633261E-2</v>
      </c>
      <c r="P27" s="4" t="s">
        <v>67</v>
      </c>
      <c r="Q27" s="1" t="s">
        <v>66</v>
      </c>
    </row>
    <row r="28" spans="1:26" x14ac:dyDescent="0.2">
      <c r="A28" s="1" t="s">
        <v>68</v>
      </c>
      <c r="B28" s="2">
        <v>0.39041670550946211</v>
      </c>
      <c r="C28" s="7">
        <v>0.39004381467325439</v>
      </c>
      <c r="D28" s="6">
        <v>0.37214505453528479</v>
      </c>
      <c r="E28" s="7">
        <v>0.24797240607812063</v>
      </c>
      <c r="F28" s="2">
        <v>0.35014449519903046</v>
      </c>
      <c r="G28" s="3">
        <v>2.7323266832606788E-2</v>
      </c>
      <c r="H28" s="4" t="s">
        <v>69</v>
      </c>
      <c r="I28" s="1" t="s">
        <v>68</v>
      </c>
      <c r="J28" s="5">
        <f t="shared" ref="J28:N28" si="27">B28*100</f>
        <v>39.041670550946215</v>
      </c>
      <c r="K28" s="5">
        <f t="shared" si="27"/>
        <v>39.004381467325437</v>
      </c>
      <c r="L28" s="5">
        <f t="shared" si="27"/>
        <v>37.214505453528481</v>
      </c>
      <c r="M28" s="5">
        <f t="shared" si="27"/>
        <v>24.797240607812064</v>
      </c>
      <c r="N28" s="5">
        <f t="shared" si="27"/>
        <v>35.014449519903046</v>
      </c>
      <c r="O28" s="3">
        <v>2.7323266832606788E-2</v>
      </c>
      <c r="P28" s="4" t="s">
        <v>69</v>
      </c>
      <c r="Q28" s="1" t="s">
        <v>68</v>
      </c>
    </row>
    <row r="29" spans="1:26" x14ac:dyDescent="0.2">
      <c r="A29" s="1" t="s">
        <v>70</v>
      </c>
      <c r="C29" s="2">
        <v>0.4577510185137435</v>
      </c>
      <c r="D29" s="2">
        <v>0.35904543344850703</v>
      </c>
      <c r="E29" s="2">
        <v>0.30396833582589861</v>
      </c>
      <c r="F29" s="2">
        <v>0.37358826259604971</v>
      </c>
      <c r="G29" s="3">
        <v>3.0495496633143212E-2</v>
      </c>
      <c r="H29" s="4" t="s">
        <v>71</v>
      </c>
      <c r="I29" s="1" t="s">
        <v>70</v>
      </c>
      <c r="J29" s="5">
        <f t="shared" ref="J29:N29" si="28">B29*100</f>
        <v>0</v>
      </c>
      <c r="K29" s="5">
        <f t="shared" si="28"/>
        <v>45.775101851374352</v>
      </c>
      <c r="L29" s="5">
        <f t="shared" si="28"/>
        <v>35.904543344850701</v>
      </c>
      <c r="M29" s="5">
        <f t="shared" si="28"/>
        <v>30.39683358258986</v>
      </c>
      <c r="N29" s="5">
        <f t="shared" si="28"/>
        <v>37.358826259604974</v>
      </c>
      <c r="O29" s="3">
        <v>3.0495496633143212E-2</v>
      </c>
      <c r="P29" s="4" t="s">
        <v>71</v>
      </c>
      <c r="Q29" s="1" t="s">
        <v>70</v>
      </c>
    </row>
    <row r="30" spans="1:26" x14ac:dyDescent="0.2">
      <c r="A30" s="1" t="s">
        <v>72</v>
      </c>
      <c r="C30" s="7">
        <v>0.56620339332680114</v>
      </c>
      <c r="D30" s="6">
        <v>0.3261693569181579</v>
      </c>
      <c r="E30" s="7">
        <v>0.24312825537620547</v>
      </c>
      <c r="F30" s="2">
        <v>0.37850033520705484</v>
      </c>
      <c r="G30" s="3">
        <v>2.4660928075258697E-2</v>
      </c>
      <c r="H30" s="4" t="s">
        <v>73</v>
      </c>
      <c r="I30" s="1" t="s">
        <v>72</v>
      </c>
      <c r="J30" s="5">
        <f t="shared" ref="J30:N30" si="29">B30*100</f>
        <v>0</v>
      </c>
      <c r="K30" s="5">
        <f t="shared" si="29"/>
        <v>56.620339332680118</v>
      </c>
      <c r="L30" s="5">
        <f t="shared" si="29"/>
        <v>32.61693569181579</v>
      </c>
      <c r="M30" s="5">
        <f t="shared" si="29"/>
        <v>24.312825537620547</v>
      </c>
      <c r="N30" s="5">
        <f t="shared" si="29"/>
        <v>37.85003352070548</v>
      </c>
      <c r="O30" s="3">
        <v>2.4660928075258697E-2</v>
      </c>
      <c r="P30" s="4" t="s">
        <v>73</v>
      </c>
      <c r="Q30" s="1" t="s">
        <v>72</v>
      </c>
    </row>
    <row r="31" spans="1:26" x14ac:dyDescent="0.2">
      <c r="A31" s="1" t="s">
        <v>74</v>
      </c>
      <c r="C31" s="2">
        <v>0.48343303594451037</v>
      </c>
      <c r="D31" s="2">
        <v>0.42854932700737458</v>
      </c>
      <c r="E31" s="2">
        <v>0.23032592439791658</v>
      </c>
      <c r="F31" s="2">
        <v>0.3807694291166005</v>
      </c>
      <c r="G31" s="3">
        <v>2.6633876555375004E-2</v>
      </c>
      <c r="H31" s="4" t="s">
        <v>75</v>
      </c>
      <c r="I31" s="1" t="s">
        <v>74</v>
      </c>
      <c r="J31" s="5">
        <f t="shared" ref="J31:N31" si="30">B31*100</f>
        <v>0</v>
      </c>
      <c r="K31" s="5">
        <f t="shared" si="30"/>
        <v>48.343303594451037</v>
      </c>
      <c r="L31" s="5">
        <f t="shared" si="30"/>
        <v>42.854932700737457</v>
      </c>
      <c r="M31" s="5">
        <f t="shared" si="30"/>
        <v>23.032592439791657</v>
      </c>
      <c r="N31" s="5">
        <f t="shared" si="30"/>
        <v>38.076942911660048</v>
      </c>
      <c r="O31" s="3">
        <v>2.6633876555375004E-2</v>
      </c>
      <c r="P31" s="4" t="s">
        <v>75</v>
      </c>
      <c r="Q31" s="1" t="s">
        <v>74</v>
      </c>
    </row>
    <row r="32" spans="1:26" x14ac:dyDescent="0.2">
      <c r="A32" s="1" t="s">
        <v>110</v>
      </c>
      <c r="C32" s="7">
        <v>0.48651220890461888</v>
      </c>
      <c r="D32" s="6">
        <v>0.72515837373226655</v>
      </c>
      <c r="E32" s="7">
        <v>1.9361746423579098E-2</v>
      </c>
      <c r="F32" s="2">
        <v>0.4103441096868215</v>
      </c>
      <c r="G32" s="2">
        <v>5.181866031979402E-2</v>
      </c>
      <c r="H32" s="4" t="s">
        <v>111</v>
      </c>
      <c r="I32" s="1" t="s">
        <v>110</v>
      </c>
      <c r="J32" s="5">
        <f t="shared" ref="J32:N32" si="31">B32*100</f>
        <v>0</v>
      </c>
      <c r="K32" s="5">
        <f t="shared" si="31"/>
        <v>48.651220890461886</v>
      </c>
      <c r="L32" s="5">
        <f t="shared" si="31"/>
        <v>72.51583737322666</v>
      </c>
      <c r="M32" s="5">
        <f t="shared" si="31"/>
        <v>1.9361746423579098</v>
      </c>
      <c r="N32" s="5">
        <f t="shared" si="31"/>
        <v>41.034410968682153</v>
      </c>
      <c r="O32" s="2">
        <v>5.181866031979402E-2</v>
      </c>
      <c r="P32" s="4" t="s">
        <v>111</v>
      </c>
      <c r="Q32" s="1" t="s">
        <v>110</v>
      </c>
    </row>
    <row r="33" spans="1:17" x14ac:dyDescent="0.2">
      <c r="A33" s="1" t="s">
        <v>76</v>
      </c>
      <c r="C33" s="2">
        <v>0.39745242638337375</v>
      </c>
      <c r="D33" s="2">
        <v>0.509540508483317</v>
      </c>
      <c r="E33" s="2">
        <v>0.3342143262338198</v>
      </c>
      <c r="F33" s="2">
        <v>0.41373575370017018</v>
      </c>
      <c r="G33" s="3">
        <v>3.3792915849940049E-2</v>
      </c>
      <c r="H33" s="4" t="s">
        <v>77</v>
      </c>
      <c r="I33" s="1" t="s">
        <v>76</v>
      </c>
      <c r="J33" s="5">
        <f t="shared" ref="J33:N33" si="32">B33*100</f>
        <v>0</v>
      </c>
      <c r="K33" s="5">
        <f t="shared" si="32"/>
        <v>39.745242638337373</v>
      </c>
      <c r="L33" s="5">
        <f t="shared" si="32"/>
        <v>50.954050848331697</v>
      </c>
      <c r="M33" s="5">
        <f t="shared" si="32"/>
        <v>33.421432623381982</v>
      </c>
      <c r="N33" s="5">
        <f t="shared" si="32"/>
        <v>41.373575370017015</v>
      </c>
      <c r="O33" s="3">
        <v>3.3792915849940049E-2</v>
      </c>
      <c r="P33" s="4" t="s">
        <v>77</v>
      </c>
      <c r="Q33" s="1" t="s">
        <v>76</v>
      </c>
    </row>
    <row r="34" spans="1:17" x14ac:dyDescent="0.2">
      <c r="A34" s="1" t="s">
        <v>78</v>
      </c>
      <c r="B34" s="2">
        <v>0.32068611913862216</v>
      </c>
      <c r="C34" s="7">
        <v>0.48699543208725643</v>
      </c>
      <c r="D34" s="6">
        <v>0.36244989279388456</v>
      </c>
      <c r="E34" s="7">
        <v>0.50079239302694134</v>
      </c>
      <c r="F34" s="2">
        <v>0.41773095926167614</v>
      </c>
      <c r="G34" s="3">
        <v>3.5115094266865182E-2</v>
      </c>
      <c r="H34" s="4" t="s">
        <v>79</v>
      </c>
      <c r="I34" s="1" t="s">
        <v>78</v>
      </c>
      <c r="J34" s="5">
        <f t="shared" ref="J34:N34" si="33">B34*100</f>
        <v>32.068611913862213</v>
      </c>
      <c r="K34" s="5">
        <f t="shared" si="33"/>
        <v>48.699543208725643</v>
      </c>
      <c r="L34" s="5">
        <f t="shared" si="33"/>
        <v>36.244989279388456</v>
      </c>
      <c r="M34" s="5">
        <f t="shared" si="33"/>
        <v>50.079239302694134</v>
      </c>
      <c r="N34" s="5">
        <f t="shared" si="33"/>
        <v>41.773095926167613</v>
      </c>
      <c r="O34" s="3">
        <v>3.5115094266865182E-2</v>
      </c>
      <c r="P34" s="4" t="s">
        <v>79</v>
      </c>
      <c r="Q34" s="1" t="s">
        <v>78</v>
      </c>
    </row>
    <row r="35" spans="1:17" x14ac:dyDescent="0.2">
      <c r="A35" s="1" t="s">
        <v>80</v>
      </c>
      <c r="C35" s="2">
        <v>0.65374892186895872</v>
      </c>
      <c r="D35" s="2">
        <v>0.58775243137138267</v>
      </c>
      <c r="E35" s="2">
        <v>3.3102340659667488E-2</v>
      </c>
      <c r="F35" s="2">
        <v>0.42486789796666968</v>
      </c>
      <c r="G35" s="3">
        <v>4.9428576592332962E-2</v>
      </c>
      <c r="H35" s="4" t="s">
        <v>81</v>
      </c>
      <c r="I35" s="1" t="s">
        <v>80</v>
      </c>
      <c r="J35" s="5">
        <f t="shared" ref="J35:N35" si="34">B35*100</f>
        <v>0</v>
      </c>
      <c r="K35" s="5">
        <f t="shared" si="34"/>
        <v>65.374892186895877</v>
      </c>
      <c r="L35" s="5">
        <f t="shared" si="34"/>
        <v>58.775243137138268</v>
      </c>
      <c r="M35" s="5">
        <f t="shared" si="34"/>
        <v>3.3102340659667489</v>
      </c>
      <c r="N35" s="5">
        <f t="shared" si="34"/>
        <v>42.486789796666969</v>
      </c>
      <c r="O35" s="3">
        <v>4.9428576592332962E-2</v>
      </c>
      <c r="P35" s="4" t="s">
        <v>81</v>
      </c>
      <c r="Q35" s="1" t="s">
        <v>80</v>
      </c>
    </row>
    <row r="36" spans="1:17" x14ac:dyDescent="0.2">
      <c r="A36" s="1" t="s">
        <v>82</v>
      </c>
      <c r="B36" s="2">
        <v>0.37028060035424631</v>
      </c>
      <c r="C36" s="7">
        <v>0.36133122028526149</v>
      </c>
      <c r="D36" s="6">
        <v>0.51235200894938004</v>
      </c>
      <c r="E36" s="7">
        <v>0.47319847114757158</v>
      </c>
      <c r="F36" s="2">
        <v>0.42929057518411484</v>
      </c>
      <c r="G36" s="3">
        <v>3.7212956414630474E-2</v>
      </c>
      <c r="H36" s="4" t="s">
        <v>83</v>
      </c>
      <c r="I36" s="1" t="s">
        <v>82</v>
      </c>
      <c r="J36" s="5">
        <f t="shared" ref="J36:N36" si="35">B36*100</f>
        <v>37.02806003542463</v>
      </c>
      <c r="K36" s="5">
        <f t="shared" si="35"/>
        <v>36.133122028526152</v>
      </c>
      <c r="L36" s="5">
        <f t="shared" si="35"/>
        <v>51.235200894938004</v>
      </c>
      <c r="M36" s="5">
        <f t="shared" si="35"/>
        <v>47.31984711475716</v>
      </c>
      <c r="N36" s="5">
        <f t="shared" si="35"/>
        <v>42.929057518411483</v>
      </c>
      <c r="O36" s="3">
        <v>3.7212956414630474E-2</v>
      </c>
      <c r="P36" s="4" t="s">
        <v>83</v>
      </c>
      <c r="Q36" s="1" t="s">
        <v>82</v>
      </c>
    </row>
    <row r="37" spans="1:17" x14ac:dyDescent="0.2">
      <c r="A37" s="1" t="s">
        <v>84</v>
      </c>
      <c r="B37" s="2">
        <v>0.45306236599235572</v>
      </c>
      <c r="C37" s="2">
        <v>0.44299431341474782</v>
      </c>
      <c r="D37" s="2">
        <v>0.47058823529411764</v>
      </c>
      <c r="E37" s="2">
        <v>0.41502750069917033</v>
      </c>
      <c r="F37" s="2">
        <v>0.44541810385009789</v>
      </c>
      <c r="G37" s="3">
        <v>4.0686842269605325E-2</v>
      </c>
      <c r="H37" s="4" t="s">
        <v>85</v>
      </c>
      <c r="I37" s="1" t="s">
        <v>84</v>
      </c>
      <c r="J37" s="5">
        <f t="shared" ref="J37:N37" si="36">B37*100</f>
        <v>45.306236599235575</v>
      </c>
      <c r="K37" s="5">
        <f t="shared" si="36"/>
        <v>44.299431341474779</v>
      </c>
      <c r="L37" s="5">
        <f t="shared" si="36"/>
        <v>47.058823529411761</v>
      </c>
      <c r="M37" s="5">
        <f t="shared" si="36"/>
        <v>41.502750069917035</v>
      </c>
      <c r="N37" s="5">
        <f t="shared" si="36"/>
        <v>44.541810385009789</v>
      </c>
      <c r="O37" s="3">
        <v>4.0686842269605325E-2</v>
      </c>
      <c r="P37" s="4" t="s">
        <v>85</v>
      </c>
      <c r="Q37" s="1" t="s">
        <v>84</v>
      </c>
    </row>
    <row r="38" spans="1:17" x14ac:dyDescent="0.2">
      <c r="A38" s="1" t="s">
        <v>86</v>
      </c>
      <c r="C38" s="7">
        <v>0.32219016744490381</v>
      </c>
      <c r="D38" s="6">
        <v>0.49308509056300748</v>
      </c>
      <c r="E38" s="7">
        <v>0.54138536121107572</v>
      </c>
      <c r="F38" s="2">
        <v>0.45222020640632898</v>
      </c>
      <c r="G38" s="3">
        <v>5.4200056285692568E-3</v>
      </c>
      <c r="H38" s="4" t="s">
        <v>87</v>
      </c>
      <c r="I38" s="1" t="s">
        <v>86</v>
      </c>
      <c r="J38" s="5">
        <f t="shared" ref="J38:N38" si="37">B38*100</f>
        <v>0</v>
      </c>
      <c r="K38" s="5">
        <f t="shared" si="37"/>
        <v>32.219016744490382</v>
      </c>
      <c r="L38" s="5">
        <f t="shared" si="37"/>
        <v>49.30850905630075</v>
      </c>
      <c r="M38" s="5">
        <f t="shared" si="37"/>
        <v>54.13853612110757</v>
      </c>
      <c r="N38" s="5">
        <f t="shared" si="37"/>
        <v>45.222020640632898</v>
      </c>
      <c r="O38" s="3">
        <v>5.4200056285692568E-3</v>
      </c>
      <c r="P38" s="4" t="s">
        <v>87</v>
      </c>
      <c r="Q38" s="1" t="s">
        <v>86</v>
      </c>
    </row>
    <row r="39" spans="1:17" x14ac:dyDescent="0.2">
      <c r="A39" s="1" t="s">
        <v>88</v>
      </c>
      <c r="C39" s="2">
        <v>0.43740652880202158</v>
      </c>
      <c r="D39" s="2">
        <v>0.39857408075911505</v>
      </c>
      <c r="E39" s="2">
        <v>0.52265226135836218</v>
      </c>
      <c r="F39" s="2">
        <v>0.45287762363983292</v>
      </c>
      <c r="G39" s="3">
        <v>4.0974156330320755E-2</v>
      </c>
      <c r="H39" s="4" t="s">
        <v>89</v>
      </c>
      <c r="I39" s="1" t="s">
        <v>88</v>
      </c>
      <c r="J39" s="5">
        <f t="shared" ref="J39:N39" si="38">B39*100</f>
        <v>0</v>
      </c>
      <c r="K39" s="5">
        <f t="shared" si="38"/>
        <v>43.740652880202155</v>
      </c>
      <c r="L39" s="5">
        <f t="shared" si="38"/>
        <v>39.857408075911508</v>
      </c>
      <c r="M39" s="5">
        <f t="shared" si="38"/>
        <v>52.265226135836215</v>
      </c>
      <c r="N39" s="5">
        <f t="shared" si="38"/>
        <v>45.28776236398329</v>
      </c>
      <c r="O39" s="3">
        <v>4.0974156330320755E-2</v>
      </c>
      <c r="P39" s="4" t="s">
        <v>89</v>
      </c>
      <c r="Q39" s="1" t="s">
        <v>88</v>
      </c>
    </row>
    <row r="40" spans="1:17" x14ac:dyDescent="0.2">
      <c r="A40" s="1" t="s">
        <v>90</v>
      </c>
      <c r="C40" s="7">
        <v>0.63056314785209633</v>
      </c>
      <c r="D40" s="6">
        <v>0.33850755505131247</v>
      </c>
      <c r="E40" s="7">
        <v>0.46316590170697747</v>
      </c>
      <c r="F40" s="2">
        <v>0.47741220153679542</v>
      </c>
      <c r="G40" s="3">
        <v>3.8182330970743084E-2</v>
      </c>
      <c r="H40" s="4" t="s">
        <v>91</v>
      </c>
      <c r="I40" s="1" t="s">
        <v>90</v>
      </c>
      <c r="J40" s="5">
        <f t="shared" ref="J40:N40" si="39">B40*100</f>
        <v>0</v>
      </c>
      <c r="K40" s="5">
        <f t="shared" si="39"/>
        <v>63.056314785209636</v>
      </c>
      <c r="L40" s="5">
        <f t="shared" si="39"/>
        <v>33.850755505131247</v>
      </c>
      <c r="M40" s="5">
        <f t="shared" si="39"/>
        <v>46.316590170697744</v>
      </c>
      <c r="N40" s="5">
        <f t="shared" si="39"/>
        <v>47.741220153679542</v>
      </c>
      <c r="O40" s="3">
        <v>3.8182330970743084E-2</v>
      </c>
      <c r="P40" s="4" t="s">
        <v>91</v>
      </c>
      <c r="Q40" s="1" t="s">
        <v>90</v>
      </c>
    </row>
    <row r="41" spans="1:17" x14ac:dyDescent="0.2">
      <c r="A41" s="1" t="s">
        <v>92</v>
      </c>
      <c r="C41" s="2">
        <v>0.2930434523986557</v>
      </c>
      <c r="D41" s="2">
        <v>0.60095767778009102</v>
      </c>
      <c r="E41" s="2">
        <v>0.55634535883175207</v>
      </c>
      <c r="F41" s="2">
        <v>0.48344882967016628</v>
      </c>
      <c r="G41" s="3">
        <v>1.495164589978451E-2</v>
      </c>
      <c r="H41" s="4" t="s">
        <v>93</v>
      </c>
      <c r="I41" s="1" t="s">
        <v>92</v>
      </c>
      <c r="J41" s="5">
        <f t="shared" ref="J41:N41" si="40">B41*100</f>
        <v>0</v>
      </c>
      <c r="K41" s="5">
        <f t="shared" si="40"/>
        <v>29.304345239865569</v>
      </c>
      <c r="L41" s="5">
        <f t="shared" si="40"/>
        <v>60.095767778009105</v>
      </c>
      <c r="M41" s="5">
        <f t="shared" si="40"/>
        <v>55.634535883175204</v>
      </c>
      <c r="N41" s="5">
        <f t="shared" si="40"/>
        <v>48.34488296701663</v>
      </c>
      <c r="O41" s="3">
        <v>1.495164589978451E-2</v>
      </c>
      <c r="P41" s="4" t="s">
        <v>93</v>
      </c>
      <c r="Q41" s="1" t="s">
        <v>92</v>
      </c>
    </row>
    <row r="42" spans="1:17" x14ac:dyDescent="0.2">
      <c r="A42" s="1" t="s">
        <v>112</v>
      </c>
      <c r="C42" s="7">
        <v>0.90529111443453147</v>
      </c>
      <c r="D42" s="6">
        <v>0.50265587128049094</v>
      </c>
      <c r="E42" s="7">
        <v>0.24974214841936981</v>
      </c>
      <c r="F42" s="2">
        <v>0.55256304471146411</v>
      </c>
      <c r="G42" s="2">
        <v>7.9340138064432533E-2</v>
      </c>
      <c r="H42" s="4" t="s">
        <v>113</v>
      </c>
      <c r="I42" s="1" t="s">
        <v>112</v>
      </c>
      <c r="J42" s="5">
        <f t="shared" ref="J42:N42" si="41">B42*100</f>
        <v>0</v>
      </c>
      <c r="K42" s="5">
        <f t="shared" si="41"/>
        <v>90.529111443453147</v>
      </c>
      <c r="L42" s="5">
        <f t="shared" si="41"/>
        <v>50.265587128049091</v>
      </c>
      <c r="M42" s="5">
        <f t="shared" si="41"/>
        <v>24.97421484193698</v>
      </c>
      <c r="N42" s="5">
        <f t="shared" si="41"/>
        <v>55.256304471146414</v>
      </c>
      <c r="O42" s="2">
        <v>7.9340138064432533E-2</v>
      </c>
      <c r="P42" s="4" t="s">
        <v>113</v>
      </c>
      <c r="Q42" s="1" t="s">
        <v>112</v>
      </c>
    </row>
    <row r="43" spans="1:17" x14ac:dyDescent="0.2">
      <c r="A43" s="1" t="s">
        <v>94</v>
      </c>
      <c r="C43" s="2">
        <v>0.31859144038307113</v>
      </c>
      <c r="D43" s="2">
        <v>0.68524521904648605</v>
      </c>
      <c r="E43" s="2">
        <v>0.65916188323469049</v>
      </c>
      <c r="F43" s="2">
        <v>0.55433284755474921</v>
      </c>
      <c r="G43" s="3">
        <v>3.0515650144994706E-2</v>
      </c>
      <c r="H43" s="4" t="s">
        <v>95</v>
      </c>
      <c r="I43" s="1" t="s">
        <v>94</v>
      </c>
      <c r="J43" s="5">
        <f t="shared" ref="J43:N43" si="42">B43*100</f>
        <v>0</v>
      </c>
      <c r="K43" s="5">
        <f t="shared" si="42"/>
        <v>31.859144038307114</v>
      </c>
      <c r="L43" s="5">
        <f t="shared" si="42"/>
        <v>68.524521904648608</v>
      </c>
      <c r="M43" s="5">
        <f t="shared" si="42"/>
        <v>65.916188323469044</v>
      </c>
      <c r="N43" s="5">
        <f t="shared" si="42"/>
        <v>55.433284755474922</v>
      </c>
      <c r="O43" s="3">
        <v>3.0515650144994706E-2</v>
      </c>
      <c r="P43" s="4" t="s">
        <v>95</v>
      </c>
      <c r="Q43" s="1" t="s">
        <v>94</v>
      </c>
    </row>
    <row r="44" spans="1:17" x14ac:dyDescent="0.2">
      <c r="A44" s="1" t="s">
        <v>114</v>
      </c>
      <c r="B44" s="2">
        <v>0.59028619371678936</v>
      </c>
      <c r="C44" s="7">
        <v>0.54255616668220374</v>
      </c>
      <c r="D44" s="6">
        <v>0.63764332991516737</v>
      </c>
      <c r="E44" s="6">
        <v>0.46574065442341755</v>
      </c>
      <c r="F44" s="2">
        <v>0.55905658618439447</v>
      </c>
      <c r="G44" s="2">
        <v>6.5528948354933073E-2</v>
      </c>
      <c r="H44" s="4" t="s">
        <v>115</v>
      </c>
      <c r="I44" s="1" t="s">
        <v>114</v>
      </c>
      <c r="J44" s="5">
        <f t="shared" ref="J44:N44" si="43">B44*100</f>
        <v>59.028619371678936</v>
      </c>
      <c r="K44" s="5">
        <f t="shared" si="43"/>
        <v>54.255616668220377</v>
      </c>
      <c r="L44" s="5">
        <f t="shared" si="43"/>
        <v>63.764332991516739</v>
      </c>
      <c r="M44" s="5">
        <f t="shared" si="43"/>
        <v>46.574065442341755</v>
      </c>
      <c r="N44" s="5">
        <f t="shared" si="43"/>
        <v>55.905658618439446</v>
      </c>
      <c r="O44" s="2">
        <v>6.5528948354933073E-2</v>
      </c>
      <c r="P44" s="4" t="s">
        <v>115</v>
      </c>
      <c r="Q44" s="1" t="s">
        <v>114</v>
      </c>
    </row>
    <row r="45" spans="1:17" x14ac:dyDescent="0.2">
      <c r="A45" s="1" t="s">
        <v>116</v>
      </c>
      <c r="B45" s="2">
        <v>0.58804884869954321</v>
      </c>
      <c r="C45" s="2">
        <v>0.60072713713060499</v>
      </c>
      <c r="D45" s="2">
        <v>0.46163885522513282</v>
      </c>
      <c r="E45" s="2">
        <v>0.61004940803579755</v>
      </c>
      <c r="F45" s="2">
        <v>0.56511606227276967</v>
      </c>
      <c r="G45" s="2">
        <v>6.7428422736044713E-2</v>
      </c>
      <c r="H45" s="4" t="s">
        <v>117</v>
      </c>
      <c r="I45" s="1" t="s">
        <v>116</v>
      </c>
      <c r="J45" s="5">
        <f t="shared" ref="J45:N45" si="44">B45*100</f>
        <v>58.804884869954321</v>
      </c>
      <c r="K45" s="5">
        <f t="shared" si="44"/>
        <v>60.072713713060502</v>
      </c>
      <c r="L45" s="5">
        <f t="shared" si="44"/>
        <v>46.163885522513283</v>
      </c>
      <c r="M45" s="5">
        <f t="shared" si="44"/>
        <v>61.004940803579757</v>
      </c>
      <c r="N45" s="5">
        <f t="shared" si="44"/>
        <v>56.511606227276964</v>
      </c>
      <c r="O45" s="2">
        <v>6.7428422736044713E-2</v>
      </c>
      <c r="P45" s="4" t="s">
        <v>117</v>
      </c>
      <c r="Q45" s="1" t="s">
        <v>116</v>
      </c>
    </row>
    <row r="46" spans="1:17" x14ac:dyDescent="0.2">
      <c r="A46" s="1" t="s">
        <v>118</v>
      </c>
      <c r="B46" s="2">
        <v>0.46201174606134054</v>
      </c>
      <c r="C46" s="7">
        <v>0.66374568844970638</v>
      </c>
      <c r="D46" s="6">
        <v>0.59811690127715111</v>
      </c>
      <c r="E46" s="6">
        <v>0.62757527733755947</v>
      </c>
      <c r="F46" s="2">
        <v>0.58786240328143935</v>
      </c>
      <c r="G46" s="2">
        <v>7.4747355792668335E-2</v>
      </c>
      <c r="H46" s="4" t="s">
        <v>119</v>
      </c>
      <c r="I46" s="1" t="s">
        <v>118</v>
      </c>
      <c r="J46" s="5">
        <f t="shared" ref="J46:N46" si="45">B46*100</f>
        <v>46.201174606134053</v>
      </c>
      <c r="K46" s="5">
        <f t="shared" si="45"/>
        <v>66.374568844970639</v>
      </c>
      <c r="L46" s="5">
        <f t="shared" si="45"/>
        <v>59.81169012771511</v>
      </c>
      <c r="M46" s="5">
        <f t="shared" si="45"/>
        <v>62.75752773375595</v>
      </c>
      <c r="N46" s="5">
        <f t="shared" si="45"/>
        <v>58.786240328143933</v>
      </c>
      <c r="O46" s="2">
        <v>7.4747355792668335E-2</v>
      </c>
      <c r="P46" s="4" t="s">
        <v>119</v>
      </c>
      <c r="Q46" s="1" t="s">
        <v>118</v>
      </c>
    </row>
    <row r="47" spans="1:17" x14ac:dyDescent="0.2">
      <c r="A47" s="1" t="s">
        <v>96</v>
      </c>
      <c r="C47" s="2">
        <v>0.80950539809059274</v>
      </c>
      <c r="D47" s="2">
        <v>0.42875412663950274</v>
      </c>
      <c r="E47" s="2">
        <v>0.52934003509502425</v>
      </c>
      <c r="F47" s="2">
        <v>0.58919985327503988</v>
      </c>
      <c r="G47" s="3">
        <v>3.3110281728280837E-2</v>
      </c>
      <c r="H47" s="4" t="s">
        <v>97</v>
      </c>
      <c r="I47" s="1" t="s">
        <v>96</v>
      </c>
      <c r="J47" s="5">
        <f t="shared" ref="J47:N47" si="46">B47*100</f>
        <v>0</v>
      </c>
      <c r="K47" s="5">
        <f t="shared" si="46"/>
        <v>80.950539809059279</v>
      </c>
      <c r="L47" s="5">
        <f t="shared" si="46"/>
        <v>42.875412663950272</v>
      </c>
      <c r="M47" s="5">
        <f t="shared" si="46"/>
        <v>52.934003509502425</v>
      </c>
      <c r="N47" s="5">
        <f t="shared" si="46"/>
        <v>58.919985327503987</v>
      </c>
      <c r="O47" s="3">
        <v>3.3110281728280837E-2</v>
      </c>
      <c r="P47" s="4" t="s">
        <v>97</v>
      </c>
      <c r="Q47" s="1" t="s">
        <v>96</v>
      </c>
    </row>
    <row r="48" spans="1:17" x14ac:dyDescent="0.2">
      <c r="A48" s="1" t="s">
        <v>120</v>
      </c>
      <c r="C48" s="7">
        <v>0.94030871724712251</v>
      </c>
      <c r="D48" s="6">
        <v>0.43690331023406598</v>
      </c>
      <c r="E48" s="6">
        <v>0.39577075216369745</v>
      </c>
      <c r="F48" s="2">
        <v>0.59099425988162868</v>
      </c>
      <c r="G48" s="2">
        <v>7.1672412175857556E-2</v>
      </c>
      <c r="H48" s="4" t="s">
        <v>121</v>
      </c>
      <c r="I48" s="1" t="s">
        <v>120</v>
      </c>
      <c r="J48" s="5">
        <f t="shared" ref="J48:N48" si="47">B48*100</f>
        <v>0</v>
      </c>
      <c r="K48" s="5">
        <f t="shared" si="47"/>
        <v>94.030871724712256</v>
      </c>
      <c r="L48" s="5">
        <f t="shared" si="47"/>
        <v>43.6903310234066</v>
      </c>
      <c r="M48" s="5">
        <f t="shared" si="47"/>
        <v>39.577075216369742</v>
      </c>
      <c r="N48" s="5">
        <f t="shared" si="47"/>
        <v>59.099425988162871</v>
      </c>
      <c r="O48" s="2">
        <v>7.1672412175857556E-2</v>
      </c>
      <c r="P48" s="4" t="s">
        <v>121</v>
      </c>
      <c r="Q48" s="1" t="s">
        <v>120</v>
      </c>
    </row>
    <row r="49" spans="1:26" x14ac:dyDescent="0.2">
      <c r="A49" s="1" t="s">
        <v>98</v>
      </c>
      <c r="C49" s="2">
        <v>0.41290188263985961</v>
      </c>
      <c r="D49" s="2">
        <v>0.71061475775510807</v>
      </c>
      <c r="E49" s="2">
        <v>0.69324569491122146</v>
      </c>
      <c r="F49" s="2">
        <v>0.60558744510206308</v>
      </c>
      <c r="G49" s="3">
        <v>2.5660336371461961E-2</v>
      </c>
      <c r="H49" s="4" t="s">
        <v>99</v>
      </c>
      <c r="I49" s="1" t="s">
        <v>98</v>
      </c>
      <c r="J49" s="5">
        <f t="shared" ref="J49:N49" si="48">B49*100</f>
        <v>0</v>
      </c>
      <c r="K49" s="5">
        <f t="shared" si="48"/>
        <v>41.290188263985961</v>
      </c>
      <c r="L49" s="5">
        <f t="shared" si="48"/>
        <v>71.061475775510814</v>
      </c>
      <c r="M49" s="5">
        <f t="shared" si="48"/>
        <v>69.324569491122148</v>
      </c>
      <c r="N49" s="5">
        <f t="shared" si="48"/>
        <v>60.55874451020631</v>
      </c>
      <c r="O49" s="3">
        <v>2.5660336371461961E-2</v>
      </c>
      <c r="P49" s="4" t="s">
        <v>99</v>
      </c>
      <c r="Q49" s="1" t="s">
        <v>98</v>
      </c>
    </row>
    <row r="50" spans="1:26" x14ac:dyDescent="0.2">
      <c r="A50" s="1" t="s">
        <v>122</v>
      </c>
      <c r="C50" s="7">
        <v>0.89884900217113284</v>
      </c>
      <c r="D50" s="6">
        <v>0.40389019421229516</v>
      </c>
      <c r="E50" s="6">
        <v>0.5147666775719002</v>
      </c>
      <c r="F50" s="2">
        <v>0.60583529131844271</v>
      </c>
      <c r="G50" s="2">
        <v>5.8850389663109744E-2</v>
      </c>
      <c r="H50" s="4" t="s">
        <v>123</v>
      </c>
      <c r="I50" s="1" t="s">
        <v>122</v>
      </c>
      <c r="J50" s="5">
        <f t="shared" ref="J50:N50" si="49">B50*100</f>
        <v>0</v>
      </c>
      <c r="K50" s="5">
        <f t="shared" si="49"/>
        <v>89.884900217113284</v>
      </c>
      <c r="L50" s="5">
        <f t="shared" si="49"/>
        <v>40.389019421229513</v>
      </c>
      <c r="M50" s="5">
        <f t="shared" si="49"/>
        <v>51.476667757190022</v>
      </c>
      <c r="N50" s="5">
        <f t="shared" si="49"/>
        <v>60.583529131844273</v>
      </c>
      <c r="O50" s="2">
        <v>5.8850389663109744E-2</v>
      </c>
      <c r="P50" s="4" t="s">
        <v>123</v>
      </c>
      <c r="Q50" s="1" t="s">
        <v>122</v>
      </c>
    </row>
    <row r="51" spans="1:26" x14ac:dyDescent="0.2">
      <c r="A51" s="9" t="s">
        <v>177</v>
      </c>
      <c r="C51" s="10">
        <v>0.32504535585759747</v>
      </c>
      <c r="D51" s="10">
        <v>0.85964964458852566</v>
      </c>
      <c r="E51" s="10">
        <v>0.63521993873241533</v>
      </c>
      <c r="F51" s="10">
        <v>0.60663831305951288</v>
      </c>
      <c r="G51" s="10">
        <v>6.245277926901225E-2</v>
      </c>
      <c r="H51" s="11" t="s">
        <v>178</v>
      </c>
      <c r="I51" s="9" t="s">
        <v>177</v>
      </c>
      <c r="J51" s="5">
        <f t="shared" ref="J51:N51" si="50">B51*100</f>
        <v>0</v>
      </c>
      <c r="K51" s="5">
        <f t="shared" si="50"/>
        <v>32.504535585759747</v>
      </c>
      <c r="L51" s="5">
        <f t="shared" si="50"/>
        <v>85.964964458852563</v>
      </c>
      <c r="M51" s="5">
        <f t="shared" si="50"/>
        <v>63.521993873241534</v>
      </c>
      <c r="N51" s="5">
        <f t="shared" si="50"/>
        <v>60.663831305951291</v>
      </c>
      <c r="O51" s="10">
        <v>6.245277926901225E-2</v>
      </c>
      <c r="P51" s="11" t="s">
        <v>178</v>
      </c>
      <c r="Q51" s="9" t="s">
        <v>177</v>
      </c>
      <c r="R51" s="12"/>
      <c r="S51" s="12"/>
      <c r="T51" s="12"/>
      <c r="U51" s="12"/>
      <c r="V51" s="12"/>
      <c r="W51" s="12"/>
      <c r="X51" s="12"/>
      <c r="Y51" s="12"/>
      <c r="Z51" s="12"/>
    </row>
    <row r="52" spans="1:26" x14ac:dyDescent="0.2">
      <c r="A52" s="1" t="s">
        <v>100</v>
      </c>
      <c r="C52" s="7">
        <v>0.76474437141242602</v>
      </c>
      <c r="D52" s="6">
        <v>0.49995538768105169</v>
      </c>
      <c r="E52" s="6">
        <v>0.57160277191208397</v>
      </c>
      <c r="F52" s="2">
        <v>0.61210084366852058</v>
      </c>
      <c r="G52" s="3">
        <v>1.7268098359599672E-2</v>
      </c>
      <c r="H52" s="4" t="s">
        <v>101</v>
      </c>
      <c r="I52" s="1" t="s">
        <v>100</v>
      </c>
      <c r="J52" s="5">
        <f t="shared" ref="J52:N52" si="51">B52*100</f>
        <v>0</v>
      </c>
      <c r="K52" s="5">
        <f t="shared" si="51"/>
        <v>76.474437141242603</v>
      </c>
      <c r="L52" s="5">
        <f t="shared" si="51"/>
        <v>49.99553876810517</v>
      </c>
      <c r="M52" s="5">
        <f t="shared" si="51"/>
        <v>57.160277191208394</v>
      </c>
      <c r="N52" s="5">
        <f t="shared" si="51"/>
        <v>61.210084366852058</v>
      </c>
      <c r="O52" s="3">
        <v>1.7268098359599672E-2</v>
      </c>
      <c r="P52" s="4" t="s">
        <v>101</v>
      </c>
      <c r="Q52" s="1" t="s">
        <v>100</v>
      </c>
    </row>
    <row r="53" spans="1:26" x14ac:dyDescent="0.2">
      <c r="A53" s="1" t="s">
        <v>124</v>
      </c>
      <c r="B53" s="2">
        <v>0.36916192784562318</v>
      </c>
      <c r="C53" s="2">
        <v>0.60259159131164353</v>
      </c>
      <c r="D53" s="2">
        <v>0.68910226531182994</v>
      </c>
      <c r="E53" s="2">
        <v>0.79873217115689377</v>
      </c>
      <c r="F53" s="2">
        <v>0.61489698890649758</v>
      </c>
      <c r="G53" s="2">
        <v>8.6646443113335248E-2</v>
      </c>
      <c r="H53" s="4" t="s">
        <v>125</v>
      </c>
      <c r="I53" s="1" t="s">
        <v>124</v>
      </c>
      <c r="J53" s="5">
        <f t="shared" ref="J53:N53" si="52">B53*100</f>
        <v>36.91619278456232</v>
      </c>
      <c r="K53" s="5">
        <f t="shared" si="52"/>
        <v>60.259159131164353</v>
      </c>
      <c r="L53" s="5">
        <f t="shared" si="52"/>
        <v>68.910226531183</v>
      </c>
      <c r="M53" s="5">
        <f t="shared" si="52"/>
        <v>79.873217115689371</v>
      </c>
      <c r="N53" s="5">
        <f t="shared" si="52"/>
        <v>61.489698890649755</v>
      </c>
      <c r="O53" s="2">
        <v>8.6646443113335248E-2</v>
      </c>
      <c r="P53" s="4" t="s">
        <v>125</v>
      </c>
      <c r="Q53" s="1" t="s">
        <v>124</v>
      </c>
    </row>
    <row r="54" spans="1:26" x14ac:dyDescent="0.2">
      <c r="A54" s="1" t="s">
        <v>102</v>
      </c>
      <c r="C54" s="7">
        <v>0.8098028135502483</v>
      </c>
      <c r="D54" s="6">
        <v>0.63266216577937717</v>
      </c>
      <c r="E54" s="6">
        <v>0.50655801088540586</v>
      </c>
      <c r="F54" s="2">
        <v>0.64967433007167708</v>
      </c>
      <c r="G54" s="3">
        <v>2.6639498233306282E-2</v>
      </c>
      <c r="H54" s="4" t="s">
        <v>103</v>
      </c>
      <c r="I54" s="1" t="s">
        <v>102</v>
      </c>
      <c r="J54" s="5">
        <f t="shared" ref="J54:N54" si="53">B54*100</f>
        <v>0</v>
      </c>
      <c r="K54" s="5">
        <f t="shared" si="53"/>
        <v>80.980281355024829</v>
      </c>
      <c r="L54" s="5">
        <f t="shared" si="53"/>
        <v>63.266216577937719</v>
      </c>
      <c r="M54" s="5">
        <f t="shared" si="53"/>
        <v>50.655801088540585</v>
      </c>
      <c r="N54" s="5">
        <f t="shared" si="53"/>
        <v>64.967433007167713</v>
      </c>
      <c r="O54" s="3">
        <v>2.6639498233306282E-2</v>
      </c>
      <c r="P54" s="4" t="s">
        <v>103</v>
      </c>
      <c r="Q54" s="1" t="s">
        <v>102</v>
      </c>
    </row>
    <row r="55" spans="1:26" x14ac:dyDescent="0.2">
      <c r="A55" s="1" t="s">
        <v>126</v>
      </c>
      <c r="B55" s="2">
        <v>0.563438053509835</v>
      </c>
      <c r="C55" s="2">
        <v>0.68947515614803767</v>
      </c>
      <c r="D55" s="2">
        <v>0.72825580311363847</v>
      </c>
      <c r="E55" s="2">
        <v>0.64621981914794446</v>
      </c>
      <c r="F55" s="2">
        <v>0.65684720797986385</v>
      </c>
      <c r="G55" s="2">
        <v>0.10414824712177018</v>
      </c>
      <c r="H55" s="4" t="s">
        <v>127</v>
      </c>
      <c r="I55" s="1" t="s">
        <v>126</v>
      </c>
      <c r="J55" s="5">
        <f t="shared" ref="J55:N55" si="54">B55*100</f>
        <v>56.343805350983502</v>
      </c>
      <c r="K55" s="5">
        <f t="shared" si="54"/>
        <v>68.947515614803763</v>
      </c>
      <c r="L55" s="5">
        <f t="shared" si="54"/>
        <v>72.825580311363851</v>
      </c>
      <c r="M55" s="5">
        <f t="shared" si="54"/>
        <v>64.621981914794446</v>
      </c>
      <c r="N55" s="5">
        <f t="shared" si="54"/>
        <v>65.684720797986387</v>
      </c>
      <c r="O55" s="2">
        <v>0.10414824712177018</v>
      </c>
      <c r="P55" s="4" t="s">
        <v>127</v>
      </c>
      <c r="Q55" s="1" t="s">
        <v>126</v>
      </c>
    </row>
    <row r="56" spans="1:26" x14ac:dyDescent="0.2">
      <c r="A56" s="1" t="s">
        <v>128</v>
      </c>
      <c r="B56" s="2">
        <v>0.39153537801808519</v>
      </c>
      <c r="C56" s="7">
        <v>0.79686771697585534</v>
      </c>
      <c r="D56" s="6">
        <v>0.6682203784841988</v>
      </c>
      <c r="E56" s="7">
        <v>0.77561293931201636</v>
      </c>
      <c r="F56" s="2">
        <v>0.65805910319753891</v>
      </c>
      <c r="G56" s="2">
        <v>0.10816410932388379</v>
      </c>
      <c r="H56" s="4" t="s">
        <v>129</v>
      </c>
      <c r="I56" s="1" t="s">
        <v>128</v>
      </c>
      <c r="J56" s="5">
        <f t="shared" ref="J56:N56" si="55">B56*100</f>
        <v>39.153537801808518</v>
      </c>
      <c r="K56" s="5">
        <f t="shared" si="55"/>
        <v>79.686771697585527</v>
      </c>
      <c r="L56" s="5">
        <f t="shared" si="55"/>
        <v>66.822037848419882</v>
      </c>
      <c r="M56" s="5">
        <f t="shared" si="55"/>
        <v>77.561293931201632</v>
      </c>
      <c r="N56" s="5">
        <f t="shared" si="55"/>
        <v>65.805910319753892</v>
      </c>
      <c r="O56" s="2">
        <v>0.10816410932388379</v>
      </c>
      <c r="P56" s="4" t="s">
        <v>129</v>
      </c>
      <c r="Q56" s="1" t="s">
        <v>128</v>
      </c>
    </row>
    <row r="57" spans="1:26" x14ac:dyDescent="0.2">
      <c r="A57" s="1" t="s">
        <v>130</v>
      </c>
      <c r="B57" s="2">
        <v>0.59177775706162017</v>
      </c>
      <c r="C57" s="2">
        <v>0.76629066840682392</v>
      </c>
      <c r="D57" s="2">
        <v>0.68500046611354526</v>
      </c>
      <c r="E57" s="2">
        <v>0.60743917218234367</v>
      </c>
      <c r="F57" s="2">
        <v>0.6626270159410832</v>
      </c>
      <c r="G57" s="2">
        <v>0.1071716765994382</v>
      </c>
      <c r="H57" s="4" t="s">
        <v>131</v>
      </c>
      <c r="I57" s="1" t="s">
        <v>130</v>
      </c>
      <c r="J57" s="5">
        <f t="shared" ref="J57:N57" si="56">B57*100</f>
        <v>59.177775706162016</v>
      </c>
      <c r="K57" s="5">
        <f t="shared" si="56"/>
        <v>76.629066840682398</v>
      </c>
      <c r="L57" s="5">
        <f t="shared" si="56"/>
        <v>68.50004661135452</v>
      </c>
      <c r="M57" s="5">
        <f t="shared" si="56"/>
        <v>60.743917218234365</v>
      </c>
      <c r="N57" s="5">
        <f t="shared" si="56"/>
        <v>66.262701594108322</v>
      </c>
      <c r="O57" s="2">
        <v>0.1071716765994382</v>
      </c>
      <c r="P57" s="4" t="s">
        <v>131</v>
      </c>
      <c r="Q57" s="1" t="s">
        <v>130</v>
      </c>
    </row>
    <row r="58" spans="1:26" x14ac:dyDescent="0.2">
      <c r="A58" s="1" t="s">
        <v>132</v>
      </c>
      <c r="C58" s="7">
        <v>0.35398388008208664</v>
      </c>
      <c r="D58" s="6">
        <v>0.70648068286589538</v>
      </c>
      <c r="E58" s="7">
        <v>1.0041043333432471</v>
      </c>
      <c r="F58" s="2">
        <v>0.6881896320970764</v>
      </c>
      <c r="G58" s="2">
        <v>0.11912507193357658</v>
      </c>
      <c r="H58" s="4" t="s">
        <v>47</v>
      </c>
      <c r="I58" s="1" t="s">
        <v>132</v>
      </c>
      <c r="J58" s="5">
        <f t="shared" ref="J58:N58" si="57">B58*100</f>
        <v>0</v>
      </c>
      <c r="K58" s="5">
        <f t="shared" si="57"/>
        <v>35.398388008208663</v>
      </c>
      <c r="L58" s="5">
        <f t="shared" si="57"/>
        <v>70.648068286589535</v>
      </c>
      <c r="M58" s="5">
        <f t="shared" si="57"/>
        <v>100.41043333432471</v>
      </c>
      <c r="N58" s="5">
        <f t="shared" si="57"/>
        <v>68.818963209707647</v>
      </c>
      <c r="O58" s="2">
        <v>0.11912507193357658</v>
      </c>
      <c r="P58" s="4" t="s">
        <v>47</v>
      </c>
      <c r="Q58" s="1" t="s">
        <v>132</v>
      </c>
    </row>
    <row r="59" spans="1:26" x14ac:dyDescent="0.2">
      <c r="A59" s="1" t="s">
        <v>133</v>
      </c>
      <c r="B59" s="2">
        <v>1.01500885615736</v>
      </c>
      <c r="C59" s="2">
        <v>0.46275752773375595</v>
      </c>
      <c r="D59" s="2">
        <v>1.0459587955625991</v>
      </c>
      <c r="E59" s="2">
        <v>0.37811130791460801</v>
      </c>
      <c r="F59" s="2">
        <v>0.72545912184208072</v>
      </c>
      <c r="G59" s="2">
        <v>0.18166562880646397</v>
      </c>
      <c r="H59" s="4" t="s">
        <v>134</v>
      </c>
      <c r="I59" s="1" t="s">
        <v>133</v>
      </c>
      <c r="J59" s="5">
        <f t="shared" ref="J59:N59" si="58">B59*100</f>
        <v>101.500885615736</v>
      </c>
      <c r="K59" s="5">
        <f t="shared" si="58"/>
        <v>46.275752773375594</v>
      </c>
      <c r="L59" s="5">
        <f t="shared" si="58"/>
        <v>104.5958795562599</v>
      </c>
      <c r="M59" s="5">
        <f t="shared" si="58"/>
        <v>37.811130791460798</v>
      </c>
      <c r="N59" s="5">
        <f t="shared" si="58"/>
        <v>72.545912184208078</v>
      </c>
      <c r="O59" s="2">
        <v>0.18166562880646397</v>
      </c>
      <c r="P59" s="4" t="s">
        <v>134</v>
      </c>
      <c r="Q59" s="1" t="s">
        <v>133</v>
      </c>
    </row>
    <row r="60" spans="1:26" x14ac:dyDescent="0.2">
      <c r="A60" s="1" t="s">
        <v>135</v>
      </c>
      <c r="C60" s="7">
        <v>1.0693870267376497</v>
      </c>
      <c r="D60" s="6">
        <v>0.63991910299497368</v>
      </c>
      <c r="E60" s="7">
        <v>0.49585105433780446</v>
      </c>
      <c r="F60" s="2">
        <v>0.73505239469014261</v>
      </c>
      <c r="G60" s="2">
        <v>0.1316319538092614</v>
      </c>
      <c r="H60" s="4" t="s">
        <v>136</v>
      </c>
      <c r="I60" s="1" t="s">
        <v>135</v>
      </c>
      <c r="J60" s="5">
        <f t="shared" ref="J60:N60" si="59">B60*100</f>
        <v>0</v>
      </c>
      <c r="K60" s="5">
        <f t="shared" si="59"/>
        <v>106.93870267376498</v>
      </c>
      <c r="L60" s="5">
        <f t="shared" si="59"/>
        <v>63.99191029949737</v>
      </c>
      <c r="M60" s="5">
        <f t="shared" si="59"/>
        <v>49.585105433780448</v>
      </c>
      <c r="N60" s="5">
        <f t="shared" si="59"/>
        <v>73.505239469014256</v>
      </c>
      <c r="O60" s="2">
        <v>0.1316319538092614</v>
      </c>
      <c r="P60" s="4" t="s">
        <v>136</v>
      </c>
      <c r="Q60" s="1" t="s">
        <v>135</v>
      </c>
    </row>
    <row r="61" spans="1:26" x14ac:dyDescent="0.2">
      <c r="A61" s="1" t="s">
        <v>137</v>
      </c>
      <c r="B61" s="2">
        <v>0.90239582362263449</v>
      </c>
      <c r="C61" s="2">
        <v>0.89456511606227274</v>
      </c>
      <c r="D61" s="2">
        <v>0.69767875454460704</v>
      </c>
      <c r="E61" s="2">
        <v>0.46723221776824836</v>
      </c>
      <c r="F61" s="2">
        <v>0.74046797799944064</v>
      </c>
      <c r="G61" s="2">
        <v>0.16638731276311264</v>
      </c>
      <c r="H61" s="4" t="s">
        <v>138</v>
      </c>
      <c r="I61" s="1" t="s">
        <v>137</v>
      </c>
      <c r="J61" s="5">
        <f t="shared" ref="J61:N61" si="60">B61*100</f>
        <v>90.239582362263448</v>
      </c>
      <c r="K61" s="5">
        <f t="shared" si="60"/>
        <v>89.456511606227281</v>
      </c>
      <c r="L61" s="5">
        <f t="shared" si="60"/>
        <v>69.767875454460707</v>
      </c>
      <c r="M61" s="5">
        <f t="shared" si="60"/>
        <v>46.723221776824836</v>
      </c>
      <c r="N61" s="5">
        <f t="shared" si="60"/>
        <v>74.046797799944059</v>
      </c>
      <c r="O61" s="2">
        <v>0.16638731276311264</v>
      </c>
      <c r="P61" s="4" t="s">
        <v>138</v>
      </c>
      <c r="Q61" s="1" t="s">
        <v>137</v>
      </c>
    </row>
    <row r="62" spans="1:26" x14ac:dyDescent="0.2">
      <c r="A62" s="1" t="s">
        <v>139</v>
      </c>
      <c r="B62" s="2">
        <v>0.97995711755383608</v>
      </c>
      <c r="C62" s="7">
        <v>0.84720797986389484</v>
      </c>
      <c r="D62" s="6">
        <v>0.66486436095832946</v>
      </c>
      <c r="E62" s="7">
        <v>0.61638855225132838</v>
      </c>
      <c r="F62" s="2">
        <v>0.77710450265684716</v>
      </c>
      <c r="G62" s="2">
        <v>0.19487154469370682</v>
      </c>
      <c r="H62" s="4" t="s">
        <v>140</v>
      </c>
      <c r="I62" s="1" t="s">
        <v>139</v>
      </c>
      <c r="J62" s="5">
        <f t="shared" ref="J62:N62" si="61">B62*100</f>
        <v>97.99571175538361</v>
      </c>
      <c r="K62" s="5">
        <f t="shared" si="61"/>
        <v>84.720797986389485</v>
      </c>
      <c r="L62" s="5">
        <f t="shared" si="61"/>
        <v>66.486436095832943</v>
      </c>
      <c r="M62" s="5">
        <f t="shared" si="61"/>
        <v>61.638855225132836</v>
      </c>
      <c r="N62" s="5">
        <f t="shared" si="61"/>
        <v>77.710450265684713</v>
      </c>
      <c r="O62" s="2">
        <v>0.19487154469370682</v>
      </c>
      <c r="P62" s="4" t="s">
        <v>140</v>
      </c>
      <c r="Q62" s="1" t="s">
        <v>139</v>
      </c>
    </row>
    <row r="63" spans="1:26" x14ac:dyDescent="0.2">
      <c r="A63" s="1" t="s">
        <v>141</v>
      </c>
      <c r="C63" s="2">
        <v>0.73405109597596885</v>
      </c>
      <c r="D63" s="2">
        <v>1.0143354251553995</v>
      </c>
      <c r="E63" s="2">
        <v>0.62329357880022607</v>
      </c>
      <c r="F63" s="2">
        <v>0.79056003331053148</v>
      </c>
      <c r="G63" s="2">
        <v>0.1059152388993795</v>
      </c>
      <c r="H63" s="4" t="s">
        <v>142</v>
      </c>
      <c r="I63" s="1" t="s">
        <v>141</v>
      </c>
      <c r="J63" s="5">
        <f t="shared" ref="J63:N63" si="62">B63*100</f>
        <v>0</v>
      </c>
      <c r="K63" s="5">
        <f t="shared" si="62"/>
        <v>73.405109597596891</v>
      </c>
      <c r="L63" s="5">
        <f t="shared" si="62"/>
        <v>101.43354251553995</v>
      </c>
      <c r="M63" s="5">
        <f t="shared" si="62"/>
        <v>62.329357880022606</v>
      </c>
      <c r="N63" s="5">
        <f t="shared" si="62"/>
        <v>79.056003331053148</v>
      </c>
      <c r="O63" s="2">
        <v>0.1059152388993795</v>
      </c>
      <c r="P63" s="4" t="s">
        <v>142</v>
      </c>
      <c r="Q63" s="1" t="s">
        <v>141</v>
      </c>
    </row>
    <row r="64" spans="1:26" x14ac:dyDescent="0.2">
      <c r="A64" s="1" t="s">
        <v>143</v>
      </c>
      <c r="B64" s="2">
        <v>0.82371585718280971</v>
      </c>
      <c r="C64" s="2">
        <v>0.81663093129486342</v>
      </c>
      <c r="D64" s="2">
        <v>0.84832665237251792</v>
      </c>
      <c r="E64" s="2">
        <v>0.70513657126876106</v>
      </c>
      <c r="F64" s="2">
        <v>0.79845250302973803</v>
      </c>
      <c r="G64" s="2">
        <v>0.20951238866144822</v>
      </c>
      <c r="H64" s="4" t="s">
        <v>144</v>
      </c>
      <c r="I64" s="1" t="s">
        <v>143</v>
      </c>
      <c r="J64" s="5">
        <f t="shared" ref="J64:N64" si="63">B64*100</f>
        <v>82.371585718280969</v>
      </c>
      <c r="K64" s="5">
        <f t="shared" si="63"/>
        <v>81.663093129486342</v>
      </c>
      <c r="L64" s="5">
        <f t="shared" si="63"/>
        <v>84.832665237251788</v>
      </c>
      <c r="M64" s="5">
        <f t="shared" si="63"/>
        <v>70.513657126876112</v>
      </c>
      <c r="N64" s="5">
        <f t="shared" si="63"/>
        <v>79.845250302973795</v>
      </c>
      <c r="O64" s="2">
        <v>0.20951238866144822</v>
      </c>
      <c r="P64" s="4" t="s">
        <v>144</v>
      </c>
      <c r="Q64" s="1" t="s">
        <v>143</v>
      </c>
    </row>
    <row r="65" spans="1:17" x14ac:dyDescent="0.2">
      <c r="A65" s="1" t="s">
        <v>104</v>
      </c>
      <c r="C65" s="2">
        <v>0.83469648752342152</v>
      </c>
      <c r="D65" s="2">
        <v>0.86512208904618859</v>
      </c>
      <c r="E65" s="2">
        <v>0.70680783987151652</v>
      </c>
      <c r="F65" s="2">
        <v>0.80220880548037554</v>
      </c>
      <c r="G65" s="3">
        <v>2.1796239880217849E-2</v>
      </c>
      <c r="H65" s="4" t="s">
        <v>105</v>
      </c>
      <c r="I65" s="1" t="s">
        <v>104</v>
      </c>
      <c r="J65" s="5">
        <f t="shared" ref="J65:N65" si="64">B65*100</f>
        <v>0</v>
      </c>
      <c r="K65" s="5">
        <f t="shared" si="64"/>
        <v>83.469648752342152</v>
      </c>
      <c r="L65" s="5">
        <f t="shared" si="64"/>
        <v>86.512208904618859</v>
      </c>
      <c r="M65" s="5">
        <f t="shared" si="64"/>
        <v>70.680783987151656</v>
      </c>
      <c r="N65" s="5">
        <f t="shared" si="64"/>
        <v>80.220880548037556</v>
      </c>
      <c r="O65" s="3">
        <v>2.1796239880217849E-2</v>
      </c>
      <c r="P65" s="4" t="s">
        <v>105</v>
      </c>
      <c r="Q65" s="1" t="s">
        <v>104</v>
      </c>
    </row>
    <row r="66" spans="1:17" x14ac:dyDescent="0.2">
      <c r="A66" s="1" t="s">
        <v>145</v>
      </c>
      <c r="C66" s="2">
        <v>0.89813520506795941</v>
      </c>
      <c r="D66" s="2">
        <v>0.92406983314992708</v>
      </c>
      <c r="E66" s="2">
        <v>0.59932189275198522</v>
      </c>
      <c r="F66" s="2">
        <v>0.80717564365662398</v>
      </c>
      <c r="G66" s="2">
        <v>0.10152629467837959</v>
      </c>
      <c r="H66" s="4" t="s">
        <v>146</v>
      </c>
      <c r="I66" s="1" t="s">
        <v>145</v>
      </c>
      <c r="J66" s="5">
        <f t="shared" ref="J66:N66" si="65">B66*100</f>
        <v>0</v>
      </c>
      <c r="K66" s="5">
        <f t="shared" si="65"/>
        <v>89.813520506795939</v>
      </c>
      <c r="L66" s="5">
        <f t="shared" si="65"/>
        <v>92.406983314992715</v>
      </c>
      <c r="M66" s="5">
        <f t="shared" si="65"/>
        <v>59.932189275198525</v>
      </c>
      <c r="N66" s="5">
        <f t="shared" si="65"/>
        <v>80.717564365662398</v>
      </c>
      <c r="O66" s="2">
        <v>0.10152629467837959</v>
      </c>
      <c r="P66" s="4" t="s">
        <v>146</v>
      </c>
      <c r="Q66" s="1" t="s">
        <v>145</v>
      </c>
    </row>
    <row r="67" spans="1:17" x14ac:dyDescent="0.2">
      <c r="A67" s="1" t="s">
        <v>147</v>
      </c>
      <c r="C67" s="2">
        <v>0.86146387889242482</v>
      </c>
      <c r="D67" s="2">
        <v>0.94146863753977927</v>
      </c>
      <c r="E67" s="2">
        <v>0.62823067543050892</v>
      </c>
      <c r="F67" s="2">
        <v>0.81038773062090441</v>
      </c>
      <c r="G67" s="2">
        <v>8.8896879269575679E-2</v>
      </c>
      <c r="H67" s="4" t="s">
        <v>148</v>
      </c>
      <c r="I67" s="1" t="s">
        <v>147</v>
      </c>
      <c r="J67" s="5">
        <f t="shared" ref="J67:N67" si="66">B67*100</f>
        <v>0</v>
      </c>
      <c r="K67" s="5">
        <f t="shared" si="66"/>
        <v>86.146387889242476</v>
      </c>
      <c r="L67" s="5">
        <f t="shared" si="66"/>
        <v>94.146863753977925</v>
      </c>
      <c r="M67" s="5">
        <f t="shared" si="66"/>
        <v>62.82306754305089</v>
      </c>
      <c r="N67" s="5">
        <f t="shared" si="66"/>
        <v>81.038773062090442</v>
      </c>
      <c r="O67" s="2">
        <v>8.8896879269575679E-2</v>
      </c>
      <c r="P67" s="4" t="s">
        <v>148</v>
      </c>
      <c r="Q67" s="1" t="s">
        <v>147</v>
      </c>
    </row>
    <row r="68" spans="1:17" x14ac:dyDescent="0.2">
      <c r="A68" s="1" t="s">
        <v>106</v>
      </c>
      <c r="C68" s="2">
        <v>0.8568539392677631</v>
      </c>
      <c r="D68" s="2">
        <v>0.90369687416351907</v>
      </c>
      <c r="E68" s="2">
        <v>0.70936561282455457</v>
      </c>
      <c r="F68" s="2">
        <v>0.82330547541861221</v>
      </c>
      <c r="G68" s="3">
        <v>4.2536525150001642E-2</v>
      </c>
      <c r="H68" s="4" t="s">
        <v>107</v>
      </c>
      <c r="I68" s="1" t="s">
        <v>106</v>
      </c>
      <c r="J68" s="5">
        <f t="shared" ref="J68:N68" si="67">B68*100</f>
        <v>0</v>
      </c>
      <c r="K68" s="5">
        <f t="shared" si="67"/>
        <v>85.685393926776314</v>
      </c>
      <c r="L68" s="5">
        <f t="shared" si="67"/>
        <v>90.369687416351908</v>
      </c>
      <c r="M68" s="5">
        <f t="shared" si="67"/>
        <v>70.936561282455457</v>
      </c>
      <c r="N68" s="5">
        <f t="shared" si="67"/>
        <v>82.330547541861222</v>
      </c>
      <c r="O68" s="3">
        <v>4.2536525150001642E-2</v>
      </c>
      <c r="P68" s="4" t="s">
        <v>107</v>
      </c>
      <c r="Q68" s="1" t="s">
        <v>106</v>
      </c>
    </row>
    <row r="69" spans="1:17" x14ac:dyDescent="0.2">
      <c r="A69" s="1" t="s">
        <v>149</v>
      </c>
      <c r="C69" s="2">
        <v>0.88594117122208016</v>
      </c>
      <c r="D69" s="2">
        <v>1.0292359396841448</v>
      </c>
      <c r="E69" s="2">
        <v>0.59854861255688074</v>
      </c>
      <c r="F69" s="2">
        <v>0.83790857448770184</v>
      </c>
      <c r="G69" s="2">
        <v>0.16423234588870692</v>
      </c>
      <c r="H69" s="4" t="s">
        <v>150</v>
      </c>
      <c r="I69" s="1" t="s">
        <v>149</v>
      </c>
      <c r="J69" s="5">
        <f t="shared" ref="J69:N69" si="68">B69*100</f>
        <v>0</v>
      </c>
      <c r="K69" s="5">
        <f t="shared" si="68"/>
        <v>88.594117122208019</v>
      </c>
      <c r="L69" s="5">
        <f t="shared" si="68"/>
        <v>102.92359396841448</v>
      </c>
      <c r="M69" s="5">
        <f t="shared" si="68"/>
        <v>59.854861255688071</v>
      </c>
      <c r="N69" s="5">
        <f t="shared" si="68"/>
        <v>83.790857448770183</v>
      </c>
      <c r="O69" s="2">
        <v>0.16423234588870692</v>
      </c>
      <c r="P69" s="4" t="s">
        <v>150</v>
      </c>
      <c r="Q69" s="1" t="s">
        <v>149</v>
      </c>
    </row>
    <row r="70" spans="1:17" x14ac:dyDescent="0.2">
      <c r="A70" s="1" t="s">
        <v>151</v>
      </c>
      <c r="C70" s="2">
        <v>1.0685245219046486</v>
      </c>
      <c r="D70" s="2">
        <v>0.89560717366088693</v>
      </c>
      <c r="E70" s="2">
        <v>0.58864467775034945</v>
      </c>
      <c r="F70" s="2">
        <v>0.85092545777196171</v>
      </c>
      <c r="G70" s="2">
        <v>0.19972935088985089</v>
      </c>
      <c r="H70" s="4" t="s">
        <v>152</v>
      </c>
      <c r="I70" s="1" t="s">
        <v>151</v>
      </c>
      <c r="J70" s="5">
        <f t="shared" ref="J70:N70" si="69">B70*100</f>
        <v>0</v>
      </c>
      <c r="K70" s="5">
        <f t="shared" si="69"/>
        <v>106.85245219046486</v>
      </c>
      <c r="L70" s="5">
        <f t="shared" si="69"/>
        <v>89.560717366088696</v>
      </c>
      <c r="M70" s="5">
        <f t="shared" si="69"/>
        <v>58.864467775034946</v>
      </c>
      <c r="N70" s="5">
        <f t="shared" si="69"/>
        <v>85.092545777196165</v>
      </c>
      <c r="O70" s="2">
        <v>0.19972935088985089</v>
      </c>
      <c r="P70" s="4" t="s">
        <v>152</v>
      </c>
      <c r="Q70" s="1" t="s">
        <v>151</v>
      </c>
    </row>
    <row r="71" spans="1:17" x14ac:dyDescent="0.2">
      <c r="A71" s="1" t="s">
        <v>153</v>
      </c>
      <c r="C71" s="2">
        <v>1.408619100020819</v>
      </c>
      <c r="D71" s="2">
        <v>0.4991821074859471</v>
      </c>
      <c r="E71" s="2">
        <v>0.66070844362489967</v>
      </c>
      <c r="F71" s="2">
        <v>0.85616988371055525</v>
      </c>
      <c r="G71" s="2">
        <v>0.32947513533712791</v>
      </c>
      <c r="H71" s="4" t="s">
        <v>154</v>
      </c>
      <c r="I71" s="1" t="s">
        <v>153</v>
      </c>
      <c r="J71" s="5">
        <f t="shared" ref="J71:N71" si="70">B71*100</f>
        <v>0</v>
      </c>
      <c r="K71" s="5">
        <f t="shared" si="70"/>
        <v>140.86191000208191</v>
      </c>
      <c r="L71" s="5">
        <f t="shared" si="70"/>
        <v>49.91821074859471</v>
      </c>
      <c r="M71" s="5">
        <f t="shared" si="70"/>
        <v>66.070844362489964</v>
      </c>
      <c r="N71" s="5">
        <f t="shared" si="70"/>
        <v>85.616988371055527</v>
      </c>
      <c r="O71" s="2">
        <v>0.32947513533712791</v>
      </c>
      <c r="P71" s="4" t="s">
        <v>154</v>
      </c>
      <c r="Q71" s="1" t="s">
        <v>153</v>
      </c>
    </row>
    <row r="72" spans="1:17" x14ac:dyDescent="0.2">
      <c r="A72" s="1" t="s">
        <v>155</v>
      </c>
      <c r="C72" s="2">
        <v>0.75894476994914195</v>
      </c>
      <c r="D72" s="2">
        <v>1.1622401332421259</v>
      </c>
      <c r="E72" s="2">
        <v>0.70627249204413645</v>
      </c>
      <c r="F72" s="2">
        <v>0.87581913174513482</v>
      </c>
      <c r="G72" s="2">
        <v>0.23994200164584423</v>
      </c>
      <c r="H72" s="4" t="s">
        <v>156</v>
      </c>
      <c r="I72" s="1" t="s">
        <v>155</v>
      </c>
      <c r="J72" s="5">
        <f t="shared" ref="J72:N72" si="71">B72*100</f>
        <v>0</v>
      </c>
      <c r="K72" s="5">
        <f t="shared" si="71"/>
        <v>75.8944769949142</v>
      </c>
      <c r="L72" s="5">
        <f t="shared" si="71"/>
        <v>116.22401332421259</v>
      </c>
      <c r="M72" s="5">
        <f t="shared" si="71"/>
        <v>70.627249204413644</v>
      </c>
      <c r="N72" s="5">
        <f t="shared" si="71"/>
        <v>87.581913174513488</v>
      </c>
      <c r="O72" s="2">
        <v>0.23994200164584423</v>
      </c>
      <c r="P72" s="4" t="s">
        <v>156</v>
      </c>
      <c r="Q72" s="1" t="s">
        <v>155</v>
      </c>
    </row>
    <row r="73" spans="1:17" x14ac:dyDescent="0.2">
      <c r="A73" s="1" t="s">
        <v>108</v>
      </c>
      <c r="C73" s="2">
        <v>0.80554977247717341</v>
      </c>
      <c r="D73" s="2">
        <v>0.91910299497367876</v>
      </c>
      <c r="E73" s="2">
        <v>0.90435118817476134</v>
      </c>
      <c r="F73" s="2">
        <v>0.87633465187520443</v>
      </c>
      <c r="G73" s="3">
        <v>2.797983034626091E-2</v>
      </c>
      <c r="H73" s="4" t="s">
        <v>109</v>
      </c>
      <c r="I73" s="1" t="s">
        <v>108</v>
      </c>
      <c r="J73" s="5">
        <f t="shared" ref="J73:N73" si="72">B73*100</f>
        <v>0</v>
      </c>
      <c r="K73" s="5">
        <f t="shared" si="72"/>
        <v>80.554977247717346</v>
      </c>
      <c r="L73" s="5">
        <f t="shared" si="72"/>
        <v>91.910299497367873</v>
      </c>
      <c r="M73" s="5">
        <f t="shared" si="72"/>
        <v>90.435118817476138</v>
      </c>
      <c r="N73" s="5">
        <f t="shared" si="72"/>
        <v>87.633465187520443</v>
      </c>
      <c r="O73" s="3">
        <v>2.797983034626091E-2</v>
      </c>
      <c r="P73" s="4" t="s">
        <v>109</v>
      </c>
      <c r="Q73" s="1" t="s">
        <v>108</v>
      </c>
    </row>
    <row r="74" spans="1:17" x14ac:dyDescent="0.2">
      <c r="A74" s="1" t="s">
        <v>157</v>
      </c>
      <c r="C74" s="2">
        <v>1.2197900246854831</v>
      </c>
      <c r="D74" s="2">
        <v>0.78386818546828063</v>
      </c>
      <c r="E74" s="2">
        <v>0.68842756446480091</v>
      </c>
      <c r="F74" s="2">
        <v>0.89736192487285493</v>
      </c>
      <c r="G74" s="2">
        <v>0.29749090551560425</v>
      </c>
      <c r="H74" s="4" t="s">
        <v>158</v>
      </c>
      <c r="I74" s="1" t="s">
        <v>157</v>
      </c>
      <c r="J74" s="5">
        <f t="shared" ref="J74:N74" si="73">B74*100</f>
        <v>0</v>
      </c>
      <c r="K74" s="5">
        <f t="shared" si="73"/>
        <v>121.97900246854832</v>
      </c>
      <c r="L74" s="5">
        <f t="shared" si="73"/>
        <v>78.386818546828067</v>
      </c>
      <c r="M74" s="5">
        <f t="shared" si="73"/>
        <v>68.842756446480095</v>
      </c>
      <c r="N74" s="5">
        <f t="shared" si="73"/>
        <v>89.736192487285493</v>
      </c>
      <c r="O74" s="2">
        <v>0.29749090551560425</v>
      </c>
      <c r="P74" s="4" t="s">
        <v>158</v>
      </c>
      <c r="Q74" s="1" t="s">
        <v>157</v>
      </c>
    </row>
    <row r="75" spans="1:17" x14ac:dyDescent="0.2">
      <c r="A75" s="1" t="s">
        <v>58</v>
      </c>
      <c r="C75" s="2">
        <v>0.51060286113672193</v>
      </c>
      <c r="D75" s="2">
        <v>0.84617672426612733</v>
      </c>
      <c r="E75" s="2">
        <v>1.3376855128929601</v>
      </c>
      <c r="F75" s="2">
        <v>0.89815503276526987</v>
      </c>
      <c r="G75" s="3">
        <v>0.35652880806006948</v>
      </c>
      <c r="H75" s="4" t="s">
        <v>59</v>
      </c>
      <c r="I75" s="1" t="s">
        <v>58</v>
      </c>
      <c r="J75" s="5">
        <f t="shared" ref="J75:N75" si="74">B75*100</f>
        <v>0</v>
      </c>
      <c r="K75" s="5">
        <f t="shared" si="74"/>
        <v>51.060286113672191</v>
      </c>
      <c r="L75" s="5">
        <f t="shared" si="74"/>
        <v>84.617672426612728</v>
      </c>
      <c r="M75" s="5">
        <f t="shared" si="74"/>
        <v>133.768551289296</v>
      </c>
      <c r="N75" s="5">
        <f t="shared" si="74"/>
        <v>89.815503276526982</v>
      </c>
      <c r="O75" s="3">
        <v>0.35652880806006948</v>
      </c>
      <c r="P75" s="4" t="s">
        <v>59</v>
      </c>
      <c r="Q75" s="1" t="s">
        <v>58</v>
      </c>
    </row>
    <row r="76" spans="1:17" x14ac:dyDescent="0.2">
      <c r="A76" s="1" t="s">
        <v>159</v>
      </c>
      <c r="B76" s="2">
        <v>1.2629812622354806</v>
      </c>
      <c r="C76" s="2">
        <v>0.82520742052764051</v>
      </c>
      <c r="D76" s="2">
        <v>1.0489419222522607</v>
      </c>
      <c r="E76" s="2">
        <v>0.71557751468257669</v>
      </c>
      <c r="F76" s="2">
        <v>0.96317702992448961</v>
      </c>
      <c r="G76" s="2">
        <v>0.44376128974867746</v>
      </c>
      <c r="H76" s="4" t="s">
        <v>160</v>
      </c>
      <c r="I76" s="1" t="s">
        <v>159</v>
      </c>
      <c r="J76" s="5">
        <f t="shared" ref="J76:N76" si="75">B76*100</f>
        <v>126.29812622354805</v>
      </c>
      <c r="K76" s="5">
        <f t="shared" si="75"/>
        <v>82.520742052764049</v>
      </c>
      <c r="L76" s="5">
        <f t="shared" si="75"/>
        <v>104.89419222522606</v>
      </c>
      <c r="M76" s="5">
        <f t="shared" si="75"/>
        <v>71.557751468257663</v>
      </c>
      <c r="N76" s="5">
        <f t="shared" si="75"/>
        <v>96.317702992448957</v>
      </c>
      <c r="O76" s="2">
        <v>0.44376128974867746</v>
      </c>
      <c r="P76" s="4" t="s">
        <v>160</v>
      </c>
      <c r="Q76" s="1" t="s">
        <v>159</v>
      </c>
    </row>
    <row r="77" spans="1:17" x14ac:dyDescent="0.2">
      <c r="A77" s="1" t="s">
        <v>11</v>
      </c>
      <c r="C77" s="2">
        <v>0.89834339588971834</v>
      </c>
      <c r="D77" s="2">
        <v>1.1611991791333314</v>
      </c>
      <c r="E77" s="2">
        <v>0.87808940308717243</v>
      </c>
      <c r="F77" s="2">
        <v>0.97921065937007401</v>
      </c>
      <c r="G77" s="3">
        <v>0.42107876655341425</v>
      </c>
      <c r="H77" s="4" t="s">
        <v>12</v>
      </c>
      <c r="I77" s="1" t="s">
        <v>11</v>
      </c>
      <c r="J77" s="5">
        <f t="shared" ref="J77:N77" si="76">B77*100</f>
        <v>0</v>
      </c>
      <c r="K77" s="5">
        <f t="shared" si="76"/>
        <v>89.834339588971829</v>
      </c>
      <c r="L77" s="5">
        <f t="shared" si="76"/>
        <v>116.11991791333314</v>
      </c>
      <c r="M77" s="5">
        <f t="shared" si="76"/>
        <v>87.80894030871724</v>
      </c>
      <c r="N77" s="5">
        <f t="shared" si="76"/>
        <v>97.921065937007398</v>
      </c>
      <c r="O77" s="3">
        <v>0.42107876655341425</v>
      </c>
      <c r="P77" s="4" t="s">
        <v>12</v>
      </c>
      <c r="Q77" s="1" t="s">
        <v>11</v>
      </c>
    </row>
    <row r="78" spans="1:17" x14ac:dyDescent="0.2">
      <c r="A78" s="1" t="s">
        <v>161</v>
      </c>
      <c r="C78" s="2">
        <v>0.96353686464622434</v>
      </c>
      <c r="D78" s="2">
        <v>0.88418642001011216</v>
      </c>
      <c r="E78" s="2">
        <v>1.2180055319275496</v>
      </c>
      <c r="F78" s="2">
        <v>1.0219096055279622</v>
      </c>
      <c r="G78" s="2">
        <v>0.42448163118735643</v>
      </c>
      <c r="H78" s="4" t="s">
        <v>162</v>
      </c>
      <c r="I78" s="1" t="s">
        <v>161</v>
      </c>
      <c r="J78" s="5">
        <f t="shared" ref="J78:N78" si="77">B78*100</f>
        <v>0</v>
      </c>
      <c r="K78" s="5">
        <f t="shared" si="77"/>
        <v>96.353686464622427</v>
      </c>
      <c r="L78" s="5">
        <f t="shared" si="77"/>
        <v>88.418642001011222</v>
      </c>
      <c r="M78" s="5">
        <f t="shared" si="77"/>
        <v>121.80055319275496</v>
      </c>
      <c r="N78" s="5">
        <f t="shared" si="77"/>
        <v>102.19096055279621</v>
      </c>
      <c r="O78" s="2">
        <v>0.42448163118735643</v>
      </c>
      <c r="P78" s="4" t="s">
        <v>162</v>
      </c>
      <c r="Q78" s="1" t="s">
        <v>161</v>
      </c>
    </row>
    <row r="79" spans="1:17" x14ac:dyDescent="0.2">
      <c r="A79" s="1" t="s">
        <v>163</v>
      </c>
      <c r="C79" s="2">
        <v>1.0594218967562272</v>
      </c>
      <c r="D79" s="2">
        <v>1.2781831777628798</v>
      </c>
      <c r="E79" s="2">
        <v>0.72845650043834775</v>
      </c>
      <c r="F79" s="2">
        <v>1.0220205249858183</v>
      </c>
      <c r="G79" s="2">
        <v>0.4650978334710904</v>
      </c>
      <c r="H79" s="4" t="s">
        <v>164</v>
      </c>
      <c r="I79" s="1" t="s">
        <v>163</v>
      </c>
      <c r="J79" s="5">
        <f t="shared" ref="J79:N79" si="78">B79*100</f>
        <v>0</v>
      </c>
      <c r="K79" s="5">
        <f t="shared" si="78"/>
        <v>105.94218967562273</v>
      </c>
      <c r="L79" s="5">
        <f t="shared" si="78"/>
        <v>127.81831777628798</v>
      </c>
      <c r="M79" s="5">
        <f t="shared" si="78"/>
        <v>72.84565004383478</v>
      </c>
      <c r="N79" s="5">
        <f t="shared" si="78"/>
        <v>102.20205249858184</v>
      </c>
      <c r="O79" s="2">
        <v>0.4650978334710904</v>
      </c>
      <c r="P79" s="4" t="s">
        <v>164</v>
      </c>
      <c r="Q79" s="1" t="s">
        <v>163</v>
      </c>
    </row>
    <row r="80" spans="1:17" x14ac:dyDescent="0.2">
      <c r="A80" s="1" t="s">
        <v>165</v>
      </c>
      <c r="B80" s="2">
        <v>1.0489419222522607</v>
      </c>
      <c r="C80" s="2">
        <v>1.1067400018644542</v>
      </c>
      <c r="D80" s="2">
        <v>1.0593828656660762</v>
      </c>
      <c r="E80" s="2">
        <v>1.0664677915540226</v>
      </c>
      <c r="F80" s="2">
        <v>1.0703831453342034</v>
      </c>
      <c r="G80" s="2">
        <v>0.38243671239810489</v>
      </c>
      <c r="H80" s="4" t="s">
        <v>166</v>
      </c>
      <c r="I80" s="1" t="s">
        <v>165</v>
      </c>
      <c r="J80" s="5">
        <f t="shared" ref="J80:N80" si="79">B80*100</f>
        <v>104.89419222522606</v>
      </c>
      <c r="K80" s="5">
        <f t="shared" si="79"/>
        <v>110.67400018644543</v>
      </c>
      <c r="L80" s="5">
        <f t="shared" si="79"/>
        <v>105.93828656660762</v>
      </c>
      <c r="M80" s="5">
        <f t="shared" si="79"/>
        <v>106.64677915540226</v>
      </c>
      <c r="N80" s="5">
        <f t="shared" si="79"/>
        <v>107.03831453342035</v>
      </c>
      <c r="O80" s="2">
        <v>0.38243671239810489</v>
      </c>
      <c r="P80" s="4" t="s">
        <v>166</v>
      </c>
      <c r="Q80" s="1" t="s">
        <v>165</v>
      </c>
    </row>
    <row r="81" spans="1:17" x14ac:dyDescent="0.2">
      <c r="A81" s="1" t="s">
        <v>167</v>
      </c>
      <c r="C81" s="2">
        <v>0.88864765190494599</v>
      </c>
      <c r="D81" s="2">
        <v>1.4255420396752223</v>
      </c>
      <c r="E81" s="2">
        <v>0.89733218332688935</v>
      </c>
      <c r="F81" s="2">
        <v>1.0705072916356859</v>
      </c>
      <c r="G81" s="2">
        <v>0.36506481238900762</v>
      </c>
      <c r="H81" s="4" t="s">
        <v>168</v>
      </c>
      <c r="I81" s="1" t="s">
        <v>167</v>
      </c>
      <c r="J81" s="5">
        <f t="shared" ref="J81:N81" si="80">B81*100</f>
        <v>0</v>
      </c>
      <c r="K81" s="5">
        <f t="shared" si="80"/>
        <v>88.864765190494595</v>
      </c>
      <c r="L81" s="5">
        <f t="shared" si="80"/>
        <v>142.55420396752223</v>
      </c>
      <c r="M81" s="5">
        <f t="shared" si="80"/>
        <v>89.733218332688935</v>
      </c>
      <c r="N81" s="5">
        <f t="shared" si="80"/>
        <v>107.05072916356859</v>
      </c>
      <c r="O81" s="2">
        <v>0.36506481238900762</v>
      </c>
      <c r="P81" s="4" t="s">
        <v>168</v>
      </c>
      <c r="Q81" s="1" t="s">
        <v>167</v>
      </c>
    </row>
    <row r="82" spans="1:17" x14ac:dyDescent="0.2">
      <c r="A82" s="1" t="s">
        <v>169</v>
      </c>
      <c r="C82" s="2">
        <v>1.2647592421854088</v>
      </c>
      <c r="D82" s="2">
        <v>1.0613865508729143</v>
      </c>
      <c r="E82" s="2">
        <v>0.91407667370549917</v>
      </c>
      <c r="F82" s="2">
        <v>1.0800741555879407</v>
      </c>
      <c r="G82" s="2">
        <v>0.25733999629384624</v>
      </c>
      <c r="H82" s="4" t="s">
        <v>170</v>
      </c>
      <c r="I82" s="1" t="s">
        <v>169</v>
      </c>
      <c r="J82" s="5">
        <f t="shared" ref="J82:N82" si="81">B82*100</f>
        <v>0</v>
      </c>
      <c r="K82" s="5">
        <f t="shared" si="81"/>
        <v>126.47592421854088</v>
      </c>
      <c r="L82" s="5">
        <f t="shared" si="81"/>
        <v>106.13865508729144</v>
      </c>
      <c r="M82" s="5">
        <f t="shared" si="81"/>
        <v>91.407667370549916</v>
      </c>
      <c r="N82" s="5">
        <f t="shared" si="81"/>
        <v>108.00741555879408</v>
      </c>
      <c r="O82" s="2">
        <v>0.25733999629384624</v>
      </c>
      <c r="P82" s="4" t="s">
        <v>170</v>
      </c>
      <c r="Q82" s="1" t="s">
        <v>169</v>
      </c>
    </row>
    <row r="83" spans="1:17" x14ac:dyDescent="0.2">
      <c r="A83" s="1" t="s">
        <v>171</v>
      </c>
      <c r="C83" s="2">
        <v>1.5012342741575706</v>
      </c>
      <c r="D83" s="2">
        <v>0.89777830651637269</v>
      </c>
      <c r="E83" s="2">
        <v>0.84385688368081369</v>
      </c>
      <c r="F83" s="2">
        <v>1.0809564881182523</v>
      </c>
      <c r="G83" s="2">
        <v>0.36908891028628321</v>
      </c>
      <c r="H83" s="4" t="s">
        <v>172</v>
      </c>
      <c r="I83" s="1" t="s">
        <v>171</v>
      </c>
      <c r="J83" s="5">
        <f t="shared" ref="J83:N83" si="82">B83*100</f>
        <v>0</v>
      </c>
      <c r="K83" s="5">
        <f t="shared" si="82"/>
        <v>150.12342741575705</v>
      </c>
      <c r="L83" s="5">
        <f t="shared" si="82"/>
        <v>89.777830651637274</v>
      </c>
      <c r="M83" s="5">
        <f t="shared" si="82"/>
        <v>84.385688368081375</v>
      </c>
      <c r="N83" s="5">
        <f t="shared" si="82"/>
        <v>108.09564881182523</v>
      </c>
      <c r="O83" s="2">
        <v>0.36908891028628321</v>
      </c>
      <c r="P83" s="4" t="s">
        <v>172</v>
      </c>
      <c r="Q83" s="1" t="s">
        <v>171</v>
      </c>
    </row>
    <row r="84" spans="1:17" x14ac:dyDescent="0.2">
      <c r="A84" s="1" t="s">
        <v>173</v>
      </c>
      <c r="C84" s="2">
        <v>1.23876513101151</v>
      </c>
      <c r="D84" s="2">
        <v>1.2200874401451387</v>
      </c>
      <c r="E84" s="2">
        <v>0.84602801653629955</v>
      </c>
      <c r="F84" s="2">
        <v>1.1016268625643162</v>
      </c>
      <c r="G84" s="2">
        <v>0.2554755264059303</v>
      </c>
      <c r="H84" s="4" t="s">
        <v>174</v>
      </c>
      <c r="I84" s="1" t="s">
        <v>173</v>
      </c>
      <c r="J84" s="5">
        <f t="shared" ref="J84:N84" si="83">B84*100</f>
        <v>0</v>
      </c>
      <c r="K84" s="5">
        <f t="shared" si="83"/>
        <v>123.87651310115101</v>
      </c>
      <c r="L84" s="5">
        <f t="shared" si="83"/>
        <v>122.00874401451387</v>
      </c>
      <c r="M84" s="5">
        <f t="shared" si="83"/>
        <v>84.602801653629953</v>
      </c>
      <c r="N84" s="5">
        <f t="shared" si="83"/>
        <v>110.16268625643161</v>
      </c>
      <c r="O84" s="2">
        <v>0.2554755264059303</v>
      </c>
      <c r="P84" s="4" t="s">
        <v>174</v>
      </c>
      <c r="Q84" s="1" t="s">
        <v>173</v>
      </c>
    </row>
    <row r="85" spans="1:17" x14ac:dyDescent="0.2">
      <c r="A85" s="1" t="s">
        <v>175</v>
      </c>
      <c r="C85" s="2">
        <v>2.4305683609434019</v>
      </c>
      <c r="D85" s="2">
        <v>0.72792433750706365</v>
      </c>
      <c r="E85" s="2">
        <v>0.84822889093775089</v>
      </c>
      <c r="F85" s="2">
        <v>1.3355738631294054</v>
      </c>
      <c r="G85" s="2">
        <v>0.30153161086698643</v>
      </c>
      <c r="H85" s="4" t="s">
        <v>176</v>
      </c>
      <c r="I85" s="1" t="s">
        <v>175</v>
      </c>
      <c r="J85" s="5">
        <f t="shared" ref="J85:N85" si="84">B85*100</f>
        <v>0</v>
      </c>
      <c r="K85" s="5">
        <f t="shared" si="84"/>
        <v>243.05683609434018</v>
      </c>
      <c r="L85" s="5">
        <f t="shared" si="84"/>
        <v>72.792433750706365</v>
      </c>
      <c r="M85" s="5">
        <f t="shared" si="84"/>
        <v>84.822889093775089</v>
      </c>
      <c r="N85" s="5">
        <f t="shared" si="84"/>
        <v>133.55738631294054</v>
      </c>
      <c r="O85" s="2">
        <v>0.30153161086698643</v>
      </c>
      <c r="P85" s="4" t="s">
        <v>176</v>
      </c>
      <c r="Q85" s="1" t="s">
        <v>175</v>
      </c>
    </row>
    <row r="86" spans="1:17" x14ac:dyDescent="0.2">
      <c r="H86" s="4"/>
      <c r="P86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87"/>
  <sheetViews>
    <sheetView topLeftCell="I1" workbookViewId="0"/>
  </sheetViews>
  <sheetFormatPr defaultColWidth="12.5703125" defaultRowHeight="15.75" customHeight="1" x14ac:dyDescent="0.2"/>
  <cols>
    <col min="1" max="8" width="12.5703125" hidden="1"/>
  </cols>
  <sheetData>
    <row r="1" spans="1:19" x14ac:dyDescent="0.2">
      <c r="A1" s="1" t="s">
        <v>9</v>
      </c>
      <c r="C1" s="6">
        <v>8.4704244237017168E-3</v>
      </c>
      <c r="D1" s="2">
        <v>6.1923057088339957E-2</v>
      </c>
      <c r="E1" s="6">
        <v>3.4732607910886497E-2</v>
      </c>
      <c r="F1" s="2">
        <v>3.5042029807642719E-2</v>
      </c>
      <c r="G1" s="3">
        <v>1.5048738202846709E-2</v>
      </c>
      <c r="H1" s="4" t="s">
        <v>10</v>
      </c>
      <c r="I1" s="1" t="s">
        <v>9</v>
      </c>
      <c r="J1" s="4" t="s">
        <v>10</v>
      </c>
      <c r="L1" s="5">
        <f t="shared" ref="L1:O1" si="0">C1*100</f>
        <v>0.84704244237017168</v>
      </c>
      <c r="M1" s="5">
        <f t="shared" si="0"/>
        <v>6.1923057088339961</v>
      </c>
      <c r="N1" s="5">
        <f t="shared" si="0"/>
        <v>3.4732607910886495</v>
      </c>
      <c r="O1" s="5">
        <f t="shared" si="0"/>
        <v>3.5042029807642718</v>
      </c>
      <c r="P1" s="3">
        <v>1.5048738202846709E-2</v>
      </c>
      <c r="Q1" s="4" t="s">
        <v>10</v>
      </c>
      <c r="R1" s="1" t="s">
        <v>9</v>
      </c>
      <c r="S1" s="5">
        <v>4</v>
      </c>
    </row>
    <row r="2" spans="1:19" x14ac:dyDescent="0.2">
      <c r="A2" s="1" t="s">
        <v>13</v>
      </c>
      <c r="C2" s="6">
        <v>8.5091021607962454E-3</v>
      </c>
      <c r="D2" s="2">
        <v>5.8132638853076173E-2</v>
      </c>
      <c r="E2" s="6">
        <v>4.5407663348976328E-2</v>
      </c>
      <c r="F2" s="2">
        <v>3.7349801454282912E-2</v>
      </c>
      <c r="G2" s="3">
        <v>1.514730427431185E-2</v>
      </c>
      <c r="H2" s="4" t="s">
        <v>14</v>
      </c>
      <c r="I2" s="1" t="s">
        <v>13</v>
      </c>
      <c r="J2" s="4" t="s">
        <v>14</v>
      </c>
      <c r="L2" s="5">
        <f t="shared" ref="L2:O2" si="1">C2*100</f>
        <v>0.85091021607962458</v>
      </c>
      <c r="M2" s="5">
        <f t="shared" si="1"/>
        <v>5.8132638853076175</v>
      </c>
      <c r="N2" s="5">
        <f t="shared" si="1"/>
        <v>4.5407663348976328</v>
      </c>
      <c r="O2" s="5">
        <f t="shared" si="1"/>
        <v>3.7349801454282914</v>
      </c>
      <c r="P2" s="3">
        <v>1.514730427431185E-2</v>
      </c>
      <c r="Q2" s="4" t="s">
        <v>14</v>
      </c>
      <c r="R2" s="1" t="s">
        <v>13</v>
      </c>
      <c r="S2" s="5">
        <v>4</v>
      </c>
    </row>
    <row r="3" spans="1:19" x14ac:dyDescent="0.2">
      <c r="A3" s="1" t="s">
        <v>15</v>
      </c>
      <c r="C3" s="2">
        <v>6.695116291062865E-2</v>
      </c>
      <c r="D3" s="2">
        <v>5.2408333763085971E-2</v>
      </c>
      <c r="E3" s="2">
        <v>2.6068794801712137E-2</v>
      </c>
      <c r="F3" s="2">
        <v>4.8476097158475583E-2</v>
      </c>
      <c r="G3" s="3">
        <v>1.5628549101484632E-2</v>
      </c>
      <c r="H3" s="4" t="s">
        <v>16</v>
      </c>
      <c r="I3" s="1" t="s">
        <v>15</v>
      </c>
      <c r="J3" s="4" t="s">
        <v>16</v>
      </c>
      <c r="L3" s="5">
        <f t="shared" ref="L3:O3" si="2">C3*100</f>
        <v>6.695116291062865</v>
      </c>
      <c r="M3" s="5">
        <f t="shared" si="2"/>
        <v>5.240833376308597</v>
      </c>
      <c r="N3" s="5">
        <f t="shared" si="2"/>
        <v>2.6068794801712136</v>
      </c>
      <c r="O3" s="5">
        <f t="shared" si="2"/>
        <v>4.8476097158475584</v>
      </c>
      <c r="P3" s="3">
        <v>1.5628549101484632E-2</v>
      </c>
      <c r="Q3" s="4" t="s">
        <v>16</v>
      </c>
      <c r="R3" s="1" t="s">
        <v>15</v>
      </c>
      <c r="S3" s="5">
        <v>4</v>
      </c>
    </row>
    <row r="4" spans="1:19" x14ac:dyDescent="0.2">
      <c r="A4" s="1" t="s">
        <v>17</v>
      </c>
      <c r="C4" s="7">
        <v>4.2236088907225001E-2</v>
      </c>
      <c r="D4" s="6">
        <v>6.2541900881852408E-2</v>
      </c>
      <c r="E4" s="7">
        <v>6.5984219483265438E-2</v>
      </c>
      <c r="F4" s="2">
        <v>5.6920736424114278E-2</v>
      </c>
      <c r="G4" s="3">
        <v>1.6056726718572192E-2</v>
      </c>
      <c r="H4" s="4" t="s">
        <v>18</v>
      </c>
      <c r="I4" s="1" t="s">
        <v>17</v>
      </c>
      <c r="J4" s="4" t="s">
        <v>18</v>
      </c>
      <c r="L4" s="5">
        <f t="shared" ref="L4:O4" si="3">C4*100</f>
        <v>4.2236088907224998</v>
      </c>
      <c r="M4" s="5">
        <f t="shared" si="3"/>
        <v>6.2541900881852408</v>
      </c>
      <c r="N4" s="5">
        <f t="shared" si="3"/>
        <v>6.5984219483265436</v>
      </c>
      <c r="O4" s="5">
        <f t="shared" si="3"/>
        <v>5.6920736424114278</v>
      </c>
      <c r="P4" s="3">
        <v>1.6056726718572192E-2</v>
      </c>
      <c r="Q4" s="4" t="s">
        <v>18</v>
      </c>
      <c r="R4" s="1" t="s">
        <v>17</v>
      </c>
      <c r="S4" s="5">
        <v>4</v>
      </c>
    </row>
    <row r="5" spans="1:19" x14ac:dyDescent="0.2">
      <c r="A5" s="1" t="s">
        <v>19</v>
      </c>
      <c r="C5" s="2">
        <v>2.3864163787324016E-2</v>
      </c>
      <c r="D5" s="2">
        <v>7.9830849363106596E-2</v>
      </c>
      <c r="E5" s="2">
        <v>8.354391212418133E-2</v>
      </c>
      <c r="F5" s="2">
        <v>6.2412975091537308E-2</v>
      </c>
      <c r="G5" s="3">
        <v>1.5676277574816568E-2</v>
      </c>
      <c r="H5" s="4" t="s">
        <v>20</v>
      </c>
      <c r="I5" s="1" t="s">
        <v>19</v>
      </c>
      <c r="J5" s="4" t="s">
        <v>20</v>
      </c>
      <c r="L5" s="5">
        <f t="shared" ref="L5:O5" si="4">C5*100</f>
        <v>2.3864163787324015</v>
      </c>
      <c r="M5" s="5">
        <f t="shared" si="4"/>
        <v>7.98308493631066</v>
      </c>
      <c r="N5" s="5">
        <f t="shared" si="4"/>
        <v>8.3543912124181325</v>
      </c>
      <c r="O5" s="5">
        <f t="shared" si="4"/>
        <v>6.241297509153731</v>
      </c>
      <c r="P5" s="3">
        <v>1.5676277574816568E-2</v>
      </c>
      <c r="Q5" s="4" t="s">
        <v>20</v>
      </c>
      <c r="R5" s="1" t="s">
        <v>19</v>
      </c>
      <c r="S5" s="5">
        <v>4</v>
      </c>
    </row>
    <row r="6" spans="1:19" x14ac:dyDescent="0.2">
      <c r="A6" s="1" t="s">
        <v>21</v>
      </c>
      <c r="C6" s="7">
        <v>4.217351217916307E-2</v>
      </c>
      <c r="D6" s="6">
        <v>0.16128840377122802</v>
      </c>
      <c r="E6" s="7">
        <v>0.20135026618683638</v>
      </c>
      <c r="F6" s="2">
        <v>0.13493739404574251</v>
      </c>
      <c r="G6" s="3">
        <v>6.3344844144849549E-4</v>
      </c>
      <c r="H6" s="4" t="s">
        <v>22</v>
      </c>
      <c r="I6" s="1" t="s">
        <v>21</v>
      </c>
      <c r="J6" s="4" t="s">
        <v>22</v>
      </c>
      <c r="L6" s="5">
        <f t="shared" ref="L6:O6" si="5">C6*100</f>
        <v>4.2173512179163071</v>
      </c>
      <c r="M6" s="5">
        <f t="shared" si="5"/>
        <v>16.128840377122803</v>
      </c>
      <c r="N6" s="5">
        <f t="shared" si="5"/>
        <v>20.135026618683639</v>
      </c>
      <c r="O6" s="5">
        <f t="shared" si="5"/>
        <v>13.493739404574251</v>
      </c>
      <c r="P6" s="3">
        <v>6.3344844144849549E-4</v>
      </c>
      <c r="Q6" s="4" t="s">
        <v>22</v>
      </c>
      <c r="R6" s="1" t="s">
        <v>21</v>
      </c>
      <c r="S6" s="5">
        <v>7</v>
      </c>
    </row>
    <row r="7" spans="1:19" x14ac:dyDescent="0.2">
      <c r="A7" s="1" t="s">
        <v>23</v>
      </c>
      <c r="C7" s="2">
        <v>5.0513124645454079E-2</v>
      </c>
      <c r="D7" s="2">
        <v>0.26370481151049457</v>
      </c>
      <c r="E7" s="2">
        <v>0.10330823577948534</v>
      </c>
      <c r="F7" s="2">
        <v>0.13917539064514467</v>
      </c>
      <c r="G7" s="3">
        <v>1.3490601707253962E-2</v>
      </c>
      <c r="H7" s="4" t="s">
        <v>24</v>
      </c>
      <c r="I7" s="1" t="s">
        <v>23</v>
      </c>
      <c r="J7" s="4" t="s">
        <v>24</v>
      </c>
      <c r="L7" s="5">
        <f t="shared" ref="L7:O7" si="6">C7*100</f>
        <v>5.0513124645454077</v>
      </c>
      <c r="M7" s="5">
        <f t="shared" si="6"/>
        <v>26.370481151049457</v>
      </c>
      <c r="N7" s="5">
        <f t="shared" si="6"/>
        <v>10.330823577948534</v>
      </c>
      <c r="O7" s="5">
        <f t="shared" si="6"/>
        <v>13.917539064514466</v>
      </c>
      <c r="P7" s="3">
        <v>1.3490601707253962E-2</v>
      </c>
      <c r="Q7" s="4" t="s">
        <v>24</v>
      </c>
      <c r="R7" s="1" t="s">
        <v>23</v>
      </c>
      <c r="S7" s="5">
        <v>4</v>
      </c>
    </row>
    <row r="8" spans="1:19" x14ac:dyDescent="0.2">
      <c r="A8" s="1" t="s">
        <v>25</v>
      </c>
      <c r="C8" s="7">
        <v>8.520705481924605E-2</v>
      </c>
      <c r="D8" s="6">
        <v>0.32644010107781962</v>
      </c>
      <c r="E8" s="7">
        <v>2.355474189056779E-2</v>
      </c>
      <c r="F8" s="2">
        <v>0.14506729926254447</v>
      </c>
      <c r="G8" s="3">
        <v>1.090291879780117E-2</v>
      </c>
      <c r="H8" s="4" t="s">
        <v>26</v>
      </c>
      <c r="I8" s="1" t="s">
        <v>25</v>
      </c>
      <c r="J8" s="4" t="s">
        <v>26</v>
      </c>
      <c r="L8" s="5">
        <f t="shared" ref="L8:O8" si="7">C8*100</f>
        <v>8.5207054819246046</v>
      </c>
      <c r="M8" s="5">
        <f t="shared" si="7"/>
        <v>32.644010107781959</v>
      </c>
      <c r="N8" s="5">
        <f t="shared" si="7"/>
        <v>2.3554741890567792</v>
      </c>
      <c r="O8" s="5">
        <f t="shared" si="7"/>
        <v>14.506729926254447</v>
      </c>
      <c r="P8" s="3">
        <v>1.090291879780117E-2</v>
      </c>
      <c r="Q8" s="4" t="s">
        <v>26</v>
      </c>
      <c r="R8" s="1" t="s">
        <v>25</v>
      </c>
      <c r="S8" s="5">
        <v>4</v>
      </c>
    </row>
    <row r="9" spans="1:19" x14ac:dyDescent="0.2">
      <c r="A9" s="1"/>
      <c r="C9" s="2"/>
      <c r="D9" s="2"/>
      <c r="E9" s="2"/>
      <c r="F9" s="2"/>
      <c r="G9" s="3"/>
      <c r="H9" s="4"/>
      <c r="I9" s="8" t="s">
        <v>27</v>
      </c>
      <c r="J9" s="8" t="s">
        <v>27</v>
      </c>
      <c r="K9" s="2"/>
      <c r="L9" s="2">
        <v>17.658085499999999</v>
      </c>
      <c r="M9" s="2">
        <v>13.346663299999999</v>
      </c>
      <c r="N9" s="2">
        <v>12.9905024</v>
      </c>
      <c r="P9" s="3"/>
      <c r="Q9" s="4"/>
      <c r="R9" s="1"/>
    </row>
    <row r="10" spans="1:19" x14ac:dyDescent="0.2">
      <c r="A10" s="1"/>
      <c r="C10" s="2"/>
      <c r="D10" s="2"/>
      <c r="E10" s="2"/>
      <c r="F10" s="2"/>
      <c r="G10" s="3"/>
      <c r="H10" s="4"/>
      <c r="I10" s="8" t="s">
        <v>28</v>
      </c>
      <c r="J10" s="8" t="s">
        <v>28</v>
      </c>
      <c r="K10" s="2"/>
      <c r="L10" s="2">
        <v>14.2276931</v>
      </c>
      <c r="M10" s="2">
        <v>20.357410699999999</v>
      </c>
      <c r="N10" s="2">
        <v>12.746813299999999</v>
      </c>
      <c r="P10" s="3"/>
      <c r="Q10" s="4"/>
      <c r="R10" s="1"/>
    </row>
    <row r="11" spans="1:19" x14ac:dyDescent="0.2">
      <c r="A11" s="1" t="s">
        <v>29</v>
      </c>
      <c r="C11" s="2">
        <v>0.26157753597029548</v>
      </c>
      <c r="D11" s="2">
        <v>0.24374709916971793</v>
      </c>
      <c r="E11" s="2">
        <v>1.3769274405652107E-2</v>
      </c>
      <c r="F11" s="2">
        <v>0.1730313031818885</v>
      </c>
      <c r="G11" s="3">
        <v>1.3025166798942079E-2</v>
      </c>
      <c r="H11" s="4" t="s">
        <v>30</v>
      </c>
      <c r="I11" s="1" t="s">
        <v>29</v>
      </c>
      <c r="J11" s="4" t="s">
        <v>30</v>
      </c>
      <c r="L11" s="5">
        <f t="shared" ref="L11:O11" si="8">C11*100</f>
        <v>26.157753597029547</v>
      </c>
      <c r="M11" s="5">
        <f t="shared" si="8"/>
        <v>24.374709916971792</v>
      </c>
      <c r="N11" s="5">
        <f t="shared" si="8"/>
        <v>1.3769274405652108</v>
      </c>
      <c r="O11" s="5">
        <f t="shared" si="8"/>
        <v>17.303130318188849</v>
      </c>
      <c r="P11" s="3">
        <v>1.3025166798942079E-2</v>
      </c>
      <c r="Q11" s="4" t="s">
        <v>30</v>
      </c>
      <c r="R11" s="1" t="s">
        <v>29</v>
      </c>
      <c r="S11" s="5">
        <v>4</v>
      </c>
    </row>
    <row r="12" spans="1:19" x14ac:dyDescent="0.2">
      <c r="A12" s="1" t="s">
        <v>31</v>
      </c>
      <c r="C12" s="7">
        <v>0.27871177350317161</v>
      </c>
      <c r="D12" s="2">
        <v>0.23117683461399618</v>
      </c>
      <c r="E12" s="7">
        <v>9.9015006961992672E-3</v>
      </c>
      <c r="F12" s="2">
        <v>0.17326336960445568</v>
      </c>
      <c r="G12" s="3">
        <v>1.2739573403717768E-2</v>
      </c>
      <c r="H12" s="4" t="s">
        <v>32</v>
      </c>
      <c r="I12" s="1" t="s">
        <v>31</v>
      </c>
      <c r="J12" s="4" t="s">
        <v>32</v>
      </c>
      <c r="L12" s="5">
        <f t="shared" ref="L12:O12" si="9">C12*100</f>
        <v>27.871177350317161</v>
      </c>
      <c r="M12" s="5">
        <f t="shared" si="9"/>
        <v>23.117683461399618</v>
      </c>
      <c r="N12" s="5">
        <f t="shared" si="9"/>
        <v>0.99015006961992669</v>
      </c>
      <c r="O12" s="5">
        <f t="shared" si="9"/>
        <v>17.32633696044557</v>
      </c>
      <c r="P12" s="3">
        <v>1.2739573403717768E-2</v>
      </c>
      <c r="Q12" s="4" t="s">
        <v>32</v>
      </c>
      <c r="R12" s="1" t="s">
        <v>31</v>
      </c>
      <c r="S12" s="5">
        <v>4</v>
      </c>
    </row>
    <row r="13" spans="1:19" x14ac:dyDescent="0.2">
      <c r="A13" s="1" t="s">
        <v>33</v>
      </c>
      <c r="B13" s="2">
        <v>0.22522606506945092</v>
      </c>
      <c r="C13" s="6">
        <v>0.20210683322457351</v>
      </c>
      <c r="D13" s="2">
        <v>3.244150275006992E-2</v>
      </c>
      <c r="E13" s="6">
        <v>0.24312482520742051</v>
      </c>
      <c r="F13" s="2">
        <v>0.17572480656287873</v>
      </c>
      <c r="G13" s="3">
        <v>1.4055389251916423E-2</v>
      </c>
      <c r="H13" s="4" t="s">
        <v>34</v>
      </c>
      <c r="I13" s="1" t="s">
        <v>33</v>
      </c>
      <c r="J13" s="4" t="s">
        <v>34</v>
      </c>
      <c r="K13" s="5">
        <f t="shared" ref="K13:O13" si="10">B13*100</f>
        <v>22.522606506945092</v>
      </c>
      <c r="L13" s="5">
        <f t="shared" si="10"/>
        <v>20.210683322457353</v>
      </c>
      <c r="M13" s="5">
        <f t="shared" si="10"/>
        <v>3.2441502750069922</v>
      </c>
      <c r="N13" s="5">
        <f t="shared" si="10"/>
        <v>24.312482520742051</v>
      </c>
      <c r="O13" s="5">
        <f t="shared" si="10"/>
        <v>17.572480656287873</v>
      </c>
      <c r="P13" s="3">
        <v>1.4055389251916423E-2</v>
      </c>
      <c r="Q13" s="4" t="s">
        <v>34</v>
      </c>
      <c r="R13" s="1" t="s">
        <v>33</v>
      </c>
      <c r="S13" s="5">
        <v>7</v>
      </c>
    </row>
    <row r="14" spans="1:19" x14ac:dyDescent="0.2">
      <c r="A14" s="1" t="s">
        <v>35</v>
      </c>
      <c r="C14" s="6">
        <v>0.18286834098293023</v>
      </c>
      <c r="D14" s="2">
        <v>0.20545613944613481</v>
      </c>
      <c r="E14" s="6">
        <v>0.13947191996286937</v>
      </c>
      <c r="F14" s="2">
        <v>0.17593213346397812</v>
      </c>
      <c r="G14" s="3">
        <v>2.0112831781392147E-2</v>
      </c>
      <c r="H14" s="4" t="s">
        <v>36</v>
      </c>
      <c r="I14" s="1" t="s">
        <v>35</v>
      </c>
      <c r="J14" s="4" t="s">
        <v>36</v>
      </c>
      <c r="L14" s="5">
        <f t="shared" ref="L14:O14" si="11">C14*100</f>
        <v>18.286834098293024</v>
      </c>
      <c r="M14" s="5">
        <f t="shared" si="11"/>
        <v>20.545613944613482</v>
      </c>
      <c r="N14" s="5">
        <f t="shared" si="11"/>
        <v>13.947191996286938</v>
      </c>
      <c r="O14" s="5">
        <f t="shared" si="11"/>
        <v>17.593213346397814</v>
      </c>
      <c r="P14" s="3">
        <v>2.0112831781392147E-2</v>
      </c>
      <c r="Q14" s="4" t="s">
        <v>36</v>
      </c>
      <c r="R14" s="1" t="s">
        <v>35</v>
      </c>
      <c r="S14" s="5">
        <v>4</v>
      </c>
    </row>
    <row r="15" spans="1:19" x14ac:dyDescent="0.2">
      <c r="A15" s="1"/>
      <c r="C15" s="2"/>
      <c r="D15" s="2"/>
      <c r="E15" s="2"/>
      <c r="F15" s="2"/>
      <c r="G15" s="3"/>
      <c r="H15" s="4"/>
      <c r="I15" s="8" t="s">
        <v>37</v>
      </c>
      <c r="J15" s="8" t="s">
        <v>37</v>
      </c>
      <c r="K15" s="2"/>
      <c r="L15" s="2">
        <v>21.182204500000001</v>
      </c>
      <c r="M15" s="2">
        <v>20.019995000000002</v>
      </c>
      <c r="N15" s="2">
        <v>16.758310399999999</v>
      </c>
      <c r="P15" s="3"/>
      <c r="Q15" s="4"/>
      <c r="R15" s="1"/>
    </row>
    <row r="16" spans="1:19" x14ac:dyDescent="0.2">
      <c r="A16" s="1" t="s">
        <v>38</v>
      </c>
      <c r="B16" s="2">
        <v>0.23007364594015103</v>
      </c>
      <c r="C16" s="2">
        <v>0.24797240607812063</v>
      </c>
      <c r="D16" s="2">
        <v>4.5492682017339421E-2</v>
      </c>
      <c r="E16" s="2">
        <v>0.26027780367297476</v>
      </c>
      <c r="F16" s="2">
        <v>0.19595413442714646</v>
      </c>
      <c r="G16" s="3">
        <v>1.4947036775603219E-2</v>
      </c>
      <c r="H16" s="4" t="s">
        <v>39</v>
      </c>
      <c r="I16" s="1" t="s">
        <v>38</v>
      </c>
      <c r="J16" s="4" t="s">
        <v>39</v>
      </c>
      <c r="K16" s="5">
        <f t="shared" ref="K16:O16" si="12">B16*100</f>
        <v>23.007364594015105</v>
      </c>
      <c r="L16" s="5">
        <f t="shared" si="12"/>
        <v>24.797240607812064</v>
      </c>
      <c r="M16" s="5">
        <f t="shared" si="12"/>
        <v>4.5492682017339421</v>
      </c>
      <c r="N16" s="5">
        <f t="shared" si="12"/>
        <v>26.027780367297478</v>
      </c>
      <c r="O16" s="5">
        <f t="shared" si="12"/>
        <v>19.595413442714644</v>
      </c>
      <c r="P16" s="3">
        <v>1.4947036775603219E-2</v>
      </c>
      <c r="Q16" s="4" t="s">
        <v>39</v>
      </c>
      <c r="R16" s="1" t="s">
        <v>38</v>
      </c>
      <c r="S16" s="5">
        <v>7</v>
      </c>
    </row>
    <row r="17" spans="1:19" x14ac:dyDescent="0.2">
      <c r="A17" s="1" t="s">
        <v>40</v>
      </c>
      <c r="B17" s="2">
        <v>0.14319008110375689</v>
      </c>
      <c r="C17" s="6">
        <v>0.24275193437121284</v>
      </c>
      <c r="D17" s="7">
        <v>0.36767036450079238</v>
      </c>
      <c r="E17" s="6">
        <v>4.1763773655262425E-2</v>
      </c>
      <c r="F17" s="2">
        <v>0.19884403840775614</v>
      </c>
      <c r="G17" s="3">
        <v>1.4019444521078178E-2</v>
      </c>
      <c r="H17" s="4" t="s">
        <v>41</v>
      </c>
      <c r="I17" s="1" t="s">
        <v>40</v>
      </c>
      <c r="J17" s="4" t="s">
        <v>41</v>
      </c>
      <c r="K17" s="5">
        <f t="shared" ref="K17:O17" si="13">B17*100</f>
        <v>14.319008110375689</v>
      </c>
      <c r="L17" s="5">
        <f t="shared" si="13"/>
        <v>24.275193437121285</v>
      </c>
      <c r="M17" s="5">
        <f t="shared" si="13"/>
        <v>36.767036450079239</v>
      </c>
      <c r="N17" s="5">
        <f t="shared" si="13"/>
        <v>4.1763773655262426</v>
      </c>
      <c r="O17" s="5">
        <f t="shared" si="13"/>
        <v>19.884403840775615</v>
      </c>
      <c r="P17" s="3">
        <v>1.4019444521078178E-2</v>
      </c>
      <c r="Q17" s="4" t="s">
        <v>41</v>
      </c>
      <c r="R17" s="1" t="s">
        <v>40</v>
      </c>
      <c r="S17" s="5">
        <v>7</v>
      </c>
    </row>
    <row r="18" spans="1:19" x14ac:dyDescent="0.2">
      <c r="A18" s="1" t="s">
        <v>42</v>
      </c>
      <c r="C18" s="2">
        <v>0.31638388943324225</v>
      </c>
      <c r="D18" s="2">
        <v>0.18194007529266154</v>
      </c>
      <c r="E18" s="2">
        <v>0.15432417100716828</v>
      </c>
      <c r="F18" s="2">
        <v>0.21754937857769069</v>
      </c>
      <c r="G18" s="3">
        <v>1.8697979303537709E-2</v>
      </c>
      <c r="H18" s="4" t="s">
        <v>43</v>
      </c>
      <c r="I18" s="1" t="s">
        <v>42</v>
      </c>
      <c r="J18" s="4" t="s">
        <v>43</v>
      </c>
      <c r="L18" s="5">
        <f t="shared" ref="L18:O18" si="14">C18*100</f>
        <v>31.638388943324223</v>
      </c>
      <c r="M18" s="5">
        <f t="shared" si="14"/>
        <v>18.194007529266155</v>
      </c>
      <c r="N18" s="5">
        <f t="shared" si="14"/>
        <v>15.432417100716828</v>
      </c>
      <c r="O18" s="5">
        <f t="shared" si="14"/>
        <v>21.754937857769068</v>
      </c>
      <c r="P18" s="3">
        <v>1.8697979303537709E-2</v>
      </c>
      <c r="Q18" s="4" t="s">
        <v>43</v>
      </c>
      <c r="R18" s="1" t="s">
        <v>42</v>
      </c>
      <c r="S18" s="5">
        <v>4</v>
      </c>
    </row>
    <row r="19" spans="1:19" x14ac:dyDescent="0.2">
      <c r="A19" s="1" t="s">
        <v>44</v>
      </c>
      <c r="C19" s="6">
        <v>0.29012170594605746</v>
      </c>
      <c r="D19" s="7">
        <v>0.24053684699087205</v>
      </c>
      <c r="E19" s="6">
        <v>0.18155329792171626</v>
      </c>
      <c r="F19" s="2">
        <v>0.23740395028621528</v>
      </c>
      <c r="G19" s="3">
        <v>2.2157157655176261E-2</v>
      </c>
      <c r="H19" s="4" t="s">
        <v>45</v>
      </c>
      <c r="I19" s="1" t="s">
        <v>44</v>
      </c>
      <c r="J19" s="4" t="s">
        <v>45</v>
      </c>
      <c r="L19" s="5">
        <f t="shared" ref="L19:O19" si="15">C19*100</f>
        <v>29.012170594605745</v>
      </c>
      <c r="M19" s="5">
        <f t="shared" si="15"/>
        <v>24.053684699087206</v>
      </c>
      <c r="N19" s="5">
        <f t="shared" si="15"/>
        <v>18.155329792171628</v>
      </c>
      <c r="O19" s="5">
        <f t="shared" si="15"/>
        <v>23.740395028621528</v>
      </c>
      <c r="P19" s="3">
        <v>2.2157157655176261E-2</v>
      </c>
      <c r="Q19" s="4" t="s">
        <v>45</v>
      </c>
      <c r="R19" s="1" t="s">
        <v>44</v>
      </c>
      <c r="S19" s="5">
        <v>4</v>
      </c>
    </row>
    <row r="20" spans="1:19" x14ac:dyDescent="0.2">
      <c r="A20" s="1" t="s">
        <v>46</v>
      </c>
      <c r="C20" s="2">
        <v>0.15768913413439226</v>
      </c>
      <c r="D20" s="2">
        <v>0.27221391367129083</v>
      </c>
      <c r="E20" s="2">
        <v>0.28397194574802742</v>
      </c>
      <c r="F20" s="2">
        <v>0.23795833118457019</v>
      </c>
      <c r="G20" s="3">
        <v>2.1098613963317327E-2</v>
      </c>
      <c r="H20" s="4" t="s">
        <v>47</v>
      </c>
      <c r="I20" s="1" t="s">
        <v>46</v>
      </c>
      <c r="J20" s="4" t="s">
        <v>47</v>
      </c>
      <c r="L20" s="5">
        <f t="shared" ref="L20:O20" si="16">C20*100</f>
        <v>15.768913413439225</v>
      </c>
      <c r="M20" s="5">
        <f t="shared" si="16"/>
        <v>27.221391367129083</v>
      </c>
      <c r="N20" s="5">
        <f t="shared" si="16"/>
        <v>28.397194574802743</v>
      </c>
      <c r="O20" s="5">
        <f t="shared" si="16"/>
        <v>23.795833118457018</v>
      </c>
      <c r="P20" s="3">
        <v>2.1098613963317327E-2</v>
      </c>
      <c r="Q20" s="4" t="s">
        <v>47</v>
      </c>
      <c r="R20" s="1" t="s">
        <v>46</v>
      </c>
      <c r="S20" s="5">
        <v>4</v>
      </c>
    </row>
    <row r="21" spans="1:19" x14ac:dyDescent="0.2">
      <c r="A21" s="1" t="s">
        <v>48</v>
      </c>
      <c r="C21" s="6">
        <v>0.1249290908153267</v>
      </c>
      <c r="D21" s="7">
        <v>0.3778041359393533</v>
      </c>
      <c r="E21" s="6">
        <v>0.21736888247124955</v>
      </c>
      <c r="F21" s="2">
        <v>0.24003403640864318</v>
      </c>
      <c r="G21" s="3">
        <v>1.6741964087471681E-2</v>
      </c>
      <c r="H21" s="4" t="s">
        <v>49</v>
      </c>
      <c r="I21" s="1" t="s">
        <v>48</v>
      </c>
      <c r="J21" s="4" t="s">
        <v>49</v>
      </c>
      <c r="L21" s="5">
        <f t="shared" ref="L21:O21" si="17">C21*100</f>
        <v>12.49290908153267</v>
      </c>
      <c r="M21" s="5">
        <f t="shared" si="17"/>
        <v>37.780413593935329</v>
      </c>
      <c r="N21" s="5">
        <f t="shared" si="17"/>
        <v>21.736888247124956</v>
      </c>
      <c r="O21" s="5">
        <f t="shared" si="17"/>
        <v>24.003403640864317</v>
      </c>
      <c r="P21" s="3">
        <v>1.6741964087471681E-2</v>
      </c>
      <c r="Q21" s="4" t="s">
        <v>49</v>
      </c>
      <c r="R21" s="1" t="s">
        <v>48</v>
      </c>
      <c r="S21" s="5">
        <v>4</v>
      </c>
    </row>
    <row r="22" spans="1:19" x14ac:dyDescent="0.2">
      <c r="A22" s="1" t="s">
        <v>50</v>
      </c>
      <c r="C22" s="2">
        <v>0.31661595585580943</v>
      </c>
      <c r="D22" s="2">
        <v>0.16128616368418339</v>
      </c>
      <c r="E22" s="2">
        <v>0.2435923882213398</v>
      </c>
      <c r="F22" s="2">
        <v>0.24049816925377754</v>
      </c>
      <c r="G22" s="3">
        <v>2.0630895713943193E-2</v>
      </c>
      <c r="H22" s="4" t="s">
        <v>51</v>
      </c>
      <c r="I22" s="1" t="s">
        <v>50</v>
      </c>
      <c r="J22" s="4" t="s">
        <v>51</v>
      </c>
      <c r="L22" s="5">
        <f t="shared" ref="L22:O22" si="18">C22*100</f>
        <v>31.661595585580944</v>
      </c>
      <c r="M22" s="5">
        <f t="shared" si="18"/>
        <v>16.128616368418339</v>
      </c>
      <c r="N22" s="5">
        <f t="shared" si="18"/>
        <v>24.359238822133982</v>
      </c>
      <c r="O22" s="5">
        <f t="shared" si="18"/>
        <v>24.049816925377755</v>
      </c>
      <c r="P22" s="3">
        <v>2.0630895713943193E-2</v>
      </c>
      <c r="Q22" s="4" t="s">
        <v>51</v>
      </c>
      <c r="R22" s="1" t="s">
        <v>50</v>
      </c>
      <c r="S22" s="5">
        <v>4</v>
      </c>
    </row>
    <row r="23" spans="1:19" x14ac:dyDescent="0.2">
      <c r="A23" s="1" t="s">
        <v>52</v>
      </c>
      <c r="C23" s="6">
        <v>0.41137641173740397</v>
      </c>
      <c r="D23" s="7">
        <v>0.32013562993141148</v>
      </c>
      <c r="E23" s="6">
        <v>1.1448610179980404E-2</v>
      </c>
      <c r="F23" s="2">
        <v>0.24765355061626529</v>
      </c>
      <c r="G23" s="3">
        <v>1.4320912962714864E-2</v>
      </c>
      <c r="H23" s="4" t="s">
        <v>53</v>
      </c>
      <c r="I23" s="1" t="s">
        <v>52</v>
      </c>
      <c r="J23" s="4" t="s">
        <v>53</v>
      </c>
      <c r="L23" s="5">
        <f t="shared" ref="L23:O23" si="19">C23*100</f>
        <v>41.137641173740398</v>
      </c>
      <c r="M23" s="5">
        <f t="shared" si="19"/>
        <v>32.01356299314115</v>
      </c>
      <c r="N23" s="5">
        <f t="shared" si="19"/>
        <v>1.1448610179980403</v>
      </c>
      <c r="O23" s="5">
        <f t="shared" si="19"/>
        <v>24.765355061626529</v>
      </c>
      <c r="P23" s="3">
        <v>1.4320912962714864E-2</v>
      </c>
      <c r="Q23" s="4" t="s">
        <v>53</v>
      </c>
      <c r="R23" s="1" t="s">
        <v>52</v>
      </c>
      <c r="S23" s="5">
        <v>4</v>
      </c>
    </row>
    <row r="24" spans="1:19" x14ac:dyDescent="0.2">
      <c r="A24" s="1" t="s">
        <v>54</v>
      </c>
      <c r="C24" s="2">
        <v>0.32141199525553094</v>
      </c>
      <c r="D24" s="2">
        <v>0.26645093084420607</v>
      </c>
      <c r="E24" s="2">
        <v>0.16132484142127793</v>
      </c>
      <c r="F24" s="2">
        <v>0.24972925584033831</v>
      </c>
      <c r="G24" s="3">
        <v>2.0870699209598147E-2</v>
      </c>
      <c r="H24" s="4" t="s">
        <v>55</v>
      </c>
      <c r="I24" s="1" t="s">
        <v>54</v>
      </c>
      <c r="J24" s="4" t="s">
        <v>55</v>
      </c>
      <c r="L24" s="5">
        <f t="shared" ref="L24:O24" si="20">C24*100</f>
        <v>32.141199525553091</v>
      </c>
      <c r="M24" s="5">
        <f t="shared" si="20"/>
        <v>26.645093084420608</v>
      </c>
      <c r="N24" s="5">
        <f t="shared" si="20"/>
        <v>16.132484142127794</v>
      </c>
      <c r="O24" s="5">
        <f t="shared" si="20"/>
        <v>24.972925584033831</v>
      </c>
      <c r="P24" s="3">
        <v>2.0870699209598147E-2</v>
      </c>
      <c r="Q24" s="4" t="s">
        <v>55</v>
      </c>
      <c r="R24" s="1" t="s">
        <v>54</v>
      </c>
      <c r="S24" s="5">
        <v>4</v>
      </c>
    </row>
    <row r="25" spans="1:19" x14ac:dyDescent="0.2">
      <c r="A25" s="1" t="s">
        <v>56</v>
      </c>
      <c r="C25" s="2">
        <v>0.34620442473312363</v>
      </c>
      <c r="D25" s="7">
        <v>0.31019545149811767</v>
      </c>
      <c r="E25" s="2">
        <v>0.10245732556340571</v>
      </c>
      <c r="F25" s="2">
        <v>0.25295240059821567</v>
      </c>
      <c r="G25" s="3">
        <v>1.7197516127414898E-2</v>
      </c>
      <c r="H25" s="4" t="s">
        <v>57</v>
      </c>
      <c r="I25" s="1" t="s">
        <v>56</v>
      </c>
      <c r="J25" s="4" t="s">
        <v>57</v>
      </c>
      <c r="L25" s="5">
        <f t="shared" ref="L25:O25" si="21">C25*100</f>
        <v>34.620442473312366</v>
      </c>
      <c r="M25" s="5">
        <f t="shared" si="21"/>
        <v>31.019545149811766</v>
      </c>
      <c r="N25" s="5">
        <f t="shared" si="21"/>
        <v>10.245732556340572</v>
      </c>
      <c r="O25" s="5">
        <f t="shared" si="21"/>
        <v>25.295240059821566</v>
      </c>
      <c r="P25" s="3">
        <v>1.7197516127414898E-2</v>
      </c>
      <c r="Q25" s="4" t="s">
        <v>57</v>
      </c>
      <c r="R25" s="1" t="s">
        <v>56</v>
      </c>
      <c r="S25" s="5">
        <v>4</v>
      </c>
    </row>
    <row r="26" spans="1:19" x14ac:dyDescent="0.2">
      <c r="A26" s="1" t="s">
        <v>60</v>
      </c>
      <c r="B26" s="2">
        <v>0.46201174606134054</v>
      </c>
      <c r="C26" s="2">
        <v>0.57387899692365063</v>
      </c>
      <c r="D26" s="6">
        <v>8.0917311457070942E-2</v>
      </c>
      <c r="E26" s="2">
        <v>1.9390323482800412E-2</v>
      </c>
      <c r="F26" s="2">
        <v>0.28404959448121564</v>
      </c>
      <c r="G26" s="3">
        <v>1.8389104539818041E-2</v>
      </c>
      <c r="H26" s="4" t="s">
        <v>61</v>
      </c>
      <c r="I26" s="1" t="s">
        <v>60</v>
      </c>
      <c r="J26" s="4" t="s">
        <v>61</v>
      </c>
      <c r="K26" s="5">
        <f t="shared" ref="K26:O26" si="22">B26*100</f>
        <v>46.201174606134053</v>
      </c>
      <c r="L26" s="5">
        <f t="shared" si="22"/>
        <v>57.38789969236506</v>
      </c>
      <c r="M26" s="5">
        <f t="shared" si="22"/>
        <v>8.0917311457070937</v>
      </c>
      <c r="N26" s="5">
        <f t="shared" si="22"/>
        <v>1.9390323482800411</v>
      </c>
      <c r="O26" s="5">
        <f t="shared" si="22"/>
        <v>28.404959448121563</v>
      </c>
      <c r="P26" s="3">
        <v>1.8389104539818041E-2</v>
      </c>
      <c r="Q26" s="4" t="s">
        <v>61</v>
      </c>
      <c r="R26" s="1" t="s">
        <v>60</v>
      </c>
      <c r="S26" s="5">
        <v>7</v>
      </c>
    </row>
    <row r="27" spans="1:19" x14ac:dyDescent="0.2">
      <c r="A27" s="1" t="s">
        <v>62</v>
      </c>
      <c r="C27" s="2">
        <v>0.41949873652725495</v>
      </c>
      <c r="D27" s="2">
        <v>0.33792738899489455</v>
      </c>
      <c r="E27" s="2">
        <v>0.17675725852199475</v>
      </c>
      <c r="F27" s="2">
        <v>0.3113944613480481</v>
      </c>
      <c r="G27" s="3">
        <v>2.1462628760560629E-2</v>
      </c>
      <c r="H27" s="4" t="s">
        <v>63</v>
      </c>
      <c r="I27" s="1" t="s">
        <v>62</v>
      </c>
      <c r="J27" s="4" t="s">
        <v>63</v>
      </c>
      <c r="L27" s="5">
        <f t="shared" ref="L27:O27" si="23">C27*100</f>
        <v>41.949873652725493</v>
      </c>
      <c r="M27" s="5">
        <f t="shared" si="23"/>
        <v>33.792738899489457</v>
      </c>
      <c r="N27" s="5">
        <f t="shared" si="23"/>
        <v>17.675725852199477</v>
      </c>
      <c r="O27" s="5">
        <f t="shared" si="23"/>
        <v>31.13944613480481</v>
      </c>
      <c r="P27" s="3">
        <v>2.1462628760560629E-2</v>
      </c>
      <c r="Q27" s="4" t="s">
        <v>63</v>
      </c>
      <c r="R27" s="1" t="s">
        <v>62</v>
      </c>
      <c r="S27" s="5">
        <v>4</v>
      </c>
    </row>
    <row r="28" spans="1:19" x14ac:dyDescent="0.2">
      <c r="A28" s="1" t="s">
        <v>64</v>
      </c>
      <c r="C28" s="7">
        <v>0.40012119024289622</v>
      </c>
      <c r="D28" s="6">
        <v>0.33297663864679494</v>
      </c>
      <c r="E28" s="7">
        <v>0.26064927028002682</v>
      </c>
      <c r="F28" s="2">
        <v>0.33124903305657261</v>
      </c>
      <c r="G28" s="3">
        <v>2.7420745425815626E-2</v>
      </c>
      <c r="H28" s="4" t="s">
        <v>65</v>
      </c>
      <c r="I28" s="1" t="s">
        <v>64</v>
      </c>
      <c r="J28" s="4" t="s">
        <v>65</v>
      </c>
      <c r="L28" s="5">
        <f t="shared" ref="L28:O28" si="24">C28*100</f>
        <v>40.012119024289625</v>
      </c>
      <c r="M28" s="5">
        <f t="shared" si="24"/>
        <v>33.297663864679492</v>
      </c>
      <c r="N28" s="5">
        <f t="shared" si="24"/>
        <v>26.064927028002682</v>
      </c>
      <c r="O28" s="5">
        <f t="shared" si="24"/>
        <v>33.124903305657263</v>
      </c>
      <c r="P28" s="3">
        <v>2.7420745425815626E-2</v>
      </c>
      <c r="Q28" s="4" t="s">
        <v>65</v>
      </c>
      <c r="R28" s="1" t="s">
        <v>64</v>
      </c>
      <c r="S28" s="5">
        <v>4</v>
      </c>
    </row>
    <row r="29" spans="1:19" x14ac:dyDescent="0.2">
      <c r="A29" s="1" t="s">
        <v>66</v>
      </c>
      <c r="B29" s="2">
        <v>0.25468444112985922</v>
      </c>
      <c r="C29" s="2">
        <v>0.28861750722475993</v>
      </c>
      <c r="D29" s="2">
        <v>0.42882446163885524</v>
      </c>
      <c r="E29" s="2">
        <v>0.37289083620770019</v>
      </c>
      <c r="F29" s="2">
        <v>0.33625431155029367</v>
      </c>
      <c r="G29" s="3">
        <v>2.5651513240633261E-2</v>
      </c>
      <c r="H29" s="4" t="s">
        <v>67</v>
      </c>
      <c r="I29" s="1" t="s">
        <v>66</v>
      </c>
      <c r="J29" s="4" t="s">
        <v>67</v>
      </c>
      <c r="K29" s="5">
        <f t="shared" ref="K29:O29" si="25">B29*100</f>
        <v>25.468444112985921</v>
      </c>
      <c r="L29" s="5">
        <f t="shared" si="25"/>
        <v>28.861750722475993</v>
      </c>
      <c r="M29" s="5">
        <f t="shared" si="25"/>
        <v>42.882446163885525</v>
      </c>
      <c r="N29" s="5">
        <f t="shared" si="25"/>
        <v>37.289083620770022</v>
      </c>
      <c r="O29" s="5">
        <f t="shared" si="25"/>
        <v>33.625431155029368</v>
      </c>
      <c r="P29" s="3">
        <v>2.5651513240633261E-2</v>
      </c>
      <c r="Q29" s="4" t="s">
        <v>67</v>
      </c>
      <c r="R29" s="1" t="s">
        <v>66</v>
      </c>
      <c r="S29" s="5">
        <v>7</v>
      </c>
    </row>
    <row r="30" spans="1:19" x14ac:dyDescent="0.2">
      <c r="A30" s="1" t="s">
        <v>68</v>
      </c>
      <c r="B30" s="2">
        <v>0.39041670550946211</v>
      </c>
      <c r="C30" s="7">
        <v>0.39004381467325439</v>
      </c>
      <c r="D30" s="6">
        <v>0.37214505453528479</v>
      </c>
      <c r="E30" s="7">
        <v>0.24797240607812063</v>
      </c>
      <c r="F30" s="2">
        <v>0.35014449519903046</v>
      </c>
      <c r="G30" s="3">
        <v>2.7323266832606788E-2</v>
      </c>
      <c r="H30" s="4" t="s">
        <v>69</v>
      </c>
      <c r="I30" s="1" t="s">
        <v>68</v>
      </c>
      <c r="J30" s="4" t="s">
        <v>69</v>
      </c>
      <c r="K30" s="5">
        <f t="shared" ref="K30:O30" si="26">B30*100</f>
        <v>39.041670550946215</v>
      </c>
      <c r="L30" s="5">
        <f t="shared" si="26"/>
        <v>39.004381467325437</v>
      </c>
      <c r="M30" s="5">
        <f t="shared" si="26"/>
        <v>37.214505453528481</v>
      </c>
      <c r="N30" s="5">
        <f t="shared" si="26"/>
        <v>24.797240607812064</v>
      </c>
      <c r="O30" s="5">
        <f t="shared" si="26"/>
        <v>35.014449519903046</v>
      </c>
      <c r="P30" s="3">
        <v>2.7323266832606788E-2</v>
      </c>
      <c r="Q30" s="4" t="s">
        <v>69</v>
      </c>
      <c r="R30" s="1" t="s">
        <v>68</v>
      </c>
      <c r="S30" s="5">
        <v>7</v>
      </c>
    </row>
    <row r="31" spans="1:19" x14ac:dyDescent="0.2">
      <c r="A31" s="1" t="s">
        <v>70</v>
      </c>
      <c r="C31" s="2">
        <v>0.4577510185137435</v>
      </c>
      <c r="D31" s="2">
        <v>0.35904543344850703</v>
      </c>
      <c r="E31" s="2">
        <v>0.30396833582589861</v>
      </c>
      <c r="F31" s="2">
        <v>0.37358826259604971</v>
      </c>
      <c r="G31" s="3">
        <v>3.0495496633143212E-2</v>
      </c>
      <c r="H31" s="4" t="s">
        <v>71</v>
      </c>
      <c r="I31" s="1" t="s">
        <v>70</v>
      </c>
      <c r="J31" s="4" t="s">
        <v>71</v>
      </c>
      <c r="L31" s="5">
        <f t="shared" ref="L31:O31" si="27">C31*100</f>
        <v>45.775101851374352</v>
      </c>
      <c r="M31" s="5">
        <f t="shared" si="27"/>
        <v>35.904543344850701</v>
      </c>
      <c r="N31" s="5">
        <f t="shared" si="27"/>
        <v>30.39683358258986</v>
      </c>
      <c r="O31" s="5">
        <f t="shared" si="27"/>
        <v>37.358826259604974</v>
      </c>
      <c r="P31" s="3">
        <v>3.0495496633143212E-2</v>
      </c>
      <c r="Q31" s="4" t="s">
        <v>71</v>
      </c>
      <c r="R31" s="1" t="s">
        <v>70</v>
      </c>
      <c r="S31" s="5">
        <v>4</v>
      </c>
    </row>
    <row r="32" spans="1:19" x14ac:dyDescent="0.2">
      <c r="A32" s="1" t="s">
        <v>72</v>
      </c>
      <c r="C32" s="7">
        <v>0.56620339332680114</v>
      </c>
      <c r="D32" s="6">
        <v>0.3261693569181579</v>
      </c>
      <c r="E32" s="7">
        <v>0.24312825537620547</v>
      </c>
      <c r="F32" s="2">
        <v>0.37850033520705484</v>
      </c>
      <c r="G32" s="3">
        <v>2.4660928075258697E-2</v>
      </c>
      <c r="H32" s="4" t="s">
        <v>73</v>
      </c>
      <c r="I32" s="1" t="s">
        <v>72</v>
      </c>
      <c r="J32" s="4" t="s">
        <v>73</v>
      </c>
      <c r="L32" s="5">
        <f t="shared" ref="L32:O32" si="28">C32*100</f>
        <v>56.620339332680118</v>
      </c>
      <c r="M32" s="5">
        <f t="shared" si="28"/>
        <v>32.61693569181579</v>
      </c>
      <c r="N32" s="5">
        <f t="shared" si="28"/>
        <v>24.312825537620547</v>
      </c>
      <c r="O32" s="5">
        <f t="shared" si="28"/>
        <v>37.85003352070548</v>
      </c>
      <c r="P32" s="3">
        <v>2.4660928075258697E-2</v>
      </c>
      <c r="Q32" s="4" t="s">
        <v>73</v>
      </c>
      <c r="R32" s="1" t="s">
        <v>72</v>
      </c>
      <c r="S32" s="5">
        <v>4</v>
      </c>
    </row>
    <row r="33" spans="1:19" x14ac:dyDescent="0.2">
      <c r="A33" s="1" t="s">
        <v>74</v>
      </c>
      <c r="C33" s="2">
        <v>0.48343303594451037</v>
      </c>
      <c r="D33" s="2">
        <v>0.42854932700737458</v>
      </c>
      <c r="E33" s="2">
        <v>0.23032592439791658</v>
      </c>
      <c r="F33" s="2">
        <v>0.3807694291166005</v>
      </c>
      <c r="G33" s="3">
        <v>2.6633876555375004E-2</v>
      </c>
      <c r="H33" s="4" t="s">
        <v>75</v>
      </c>
      <c r="I33" s="1" t="s">
        <v>74</v>
      </c>
      <c r="J33" s="4" t="s">
        <v>75</v>
      </c>
      <c r="L33" s="5">
        <f t="shared" ref="L33:O33" si="29">C33*100</f>
        <v>48.343303594451037</v>
      </c>
      <c r="M33" s="5">
        <f t="shared" si="29"/>
        <v>42.854932700737457</v>
      </c>
      <c r="N33" s="5">
        <f t="shared" si="29"/>
        <v>23.032592439791657</v>
      </c>
      <c r="O33" s="5">
        <f t="shared" si="29"/>
        <v>38.076942911660048</v>
      </c>
      <c r="P33" s="3">
        <v>2.6633876555375004E-2</v>
      </c>
      <c r="Q33" s="4" t="s">
        <v>75</v>
      </c>
      <c r="R33" s="1" t="s">
        <v>74</v>
      </c>
      <c r="S33" s="5">
        <v>4</v>
      </c>
    </row>
    <row r="34" spans="1:19" x14ac:dyDescent="0.2">
      <c r="A34" s="1" t="s">
        <v>76</v>
      </c>
      <c r="C34" s="2">
        <v>0.39745242638337375</v>
      </c>
      <c r="D34" s="2">
        <v>0.509540508483317</v>
      </c>
      <c r="E34" s="2">
        <v>0.3342143262338198</v>
      </c>
      <c r="F34" s="2">
        <v>0.41373575370017018</v>
      </c>
      <c r="G34" s="3">
        <v>3.3792915849940049E-2</v>
      </c>
      <c r="H34" s="4" t="s">
        <v>77</v>
      </c>
      <c r="I34" s="1" t="s">
        <v>76</v>
      </c>
      <c r="J34" s="4" t="s">
        <v>77</v>
      </c>
      <c r="L34" s="5">
        <f t="shared" ref="L34:O34" si="30">C34*100</f>
        <v>39.745242638337373</v>
      </c>
      <c r="M34" s="5">
        <f t="shared" si="30"/>
        <v>50.954050848331697</v>
      </c>
      <c r="N34" s="5">
        <f t="shared" si="30"/>
        <v>33.421432623381982</v>
      </c>
      <c r="O34" s="5">
        <f t="shared" si="30"/>
        <v>41.373575370017015</v>
      </c>
      <c r="P34" s="3">
        <v>3.3792915849940049E-2</v>
      </c>
      <c r="Q34" s="4" t="s">
        <v>77</v>
      </c>
      <c r="R34" s="1" t="s">
        <v>76</v>
      </c>
      <c r="S34" s="5">
        <v>4</v>
      </c>
    </row>
    <row r="35" spans="1:19" x14ac:dyDescent="0.2">
      <c r="A35" s="1" t="s">
        <v>78</v>
      </c>
      <c r="B35" s="2">
        <v>0.32068611913862216</v>
      </c>
      <c r="C35" s="7">
        <v>0.48699543208725643</v>
      </c>
      <c r="D35" s="6">
        <v>0.36244989279388456</v>
      </c>
      <c r="E35" s="7">
        <v>0.50079239302694134</v>
      </c>
      <c r="F35" s="2">
        <v>0.41773095926167614</v>
      </c>
      <c r="G35" s="3">
        <v>3.5115094266865182E-2</v>
      </c>
      <c r="H35" s="4" t="s">
        <v>79</v>
      </c>
      <c r="I35" s="1" t="s">
        <v>78</v>
      </c>
      <c r="J35" s="4" t="s">
        <v>79</v>
      </c>
      <c r="K35" s="5">
        <f t="shared" ref="K35:O35" si="31">B35*100</f>
        <v>32.068611913862213</v>
      </c>
      <c r="L35" s="5">
        <f t="shared" si="31"/>
        <v>48.699543208725643</v>
      </c>
      <c r="M35" s="5">
        <f t="shared" si="31"/>
        <v>36.244989279388456</v>
      </c>
      <c r="N35" s="5">
        <f t="shared" si="31"/>
        <v>50.079239302694134</v>
      </c>
      <c r="O35" s="5">
        <f t="shared" si="31"/>
        <v>41.773095926167613</v>
      </c>
      <c r="P35" s="3">
        <v>3.5115094266865182E-2</v>
      </c>
      <c r="Q35" s="4" t="s">
        <v>79</v>
      </c>
      <c r="R35" s="1" t="s">
        <v>78</v>
      </c>
      <c r="S35" s="5">
        <v>7</v>
      </c>
    </row>
    <row r="36" spans="1:19" x14ac:dyDescent="0.2">
      <c r="A36" s="1" t="s">
        <v>80</v>
      </c>
      <c r="C36" s="2">
        <v>0.65374892186895872</v>
      </c>
      <c r="D36" s="2">
        <v>0.58775243137138267</v>
      </c>
      <c r="E36" s="2">
        <v>3.3102340659667488E-2</v>
      </c>
      <c r="F36" s="2">
        <v>0.42486789796666968</v>
      </c>
      <c r="G36" s="3">
        <v>4.9428576592332962E-2</v>
      </c>
      <c r="H36" s="4" t="s">
        <v>81</v>
      </c>
      <c r="I36" s="1" t="s">
        <v>80</v>
      </c>
      <c r="J36" s="4" t="s">
        <v>81</v>
      </c>
      <c r="L36" s="5">
        <f t="shared" ref="L36:O36" si="32">C36*100</f>
        <v>65.374892186895877</v>
      </c>
      <c r="M36" s="5">
        <f t="shared" si="32"/>
        <v>58.775243137138268</v>
      </c>
      <c r="N36" s="5">
        <f t="shared" si="32"/>
        <v>3.3102340659667489</v>
      </c>
      <c r="O36" s="5">
        <f t="shared" si="32"/>
        <v>42.486789796666969</v>
      </c>
      <c r="P36" s="3">
        <v>4.9428576592332962E-2</v>
      </c>
      <c r="Q36" s="4" t="s">
        <v>81</v>
      </c>
      <c r="R36" s="1" t="s">
        <v>80</v>
      </c>
      <c r="S36" s="5">
        <v>7</v>
      </c>
    </row>
    <row r="37" spans="1:19" x14ac:dyDescent="0.2">
      <c r="A37" s="1" t="s">
        <v>82</v>
      </c>
      <c r="B37" s="2">
        <v>0.37028060035424631</v>
      </c>
      <c r="C37" s="7">
        <v>0.36133122028526149</v>
      </c>
      <c r="D37" s="6">
        <v>0.51235200894938004</v>
      </c>
      <c r="E37" s="7">
        <v>0.47319847114757158</v>
      </c>
      <c r="F37" s="2">
        <v>0.42929057518411484</v>
      </c>
      <c r="G37" s="3">
        <v>3.7212956414630474E-2</v>
      </c>
      <c r="H37" s="4" t="s">
        <v>83</v>
      </c>
      <c r="I37" s="1" t="s">
        <v>82</v>
      </c>
      <c r="J37" s="4" t="s">
        <v>83</v>
      </c>
      <c r="K37" s="5">
        <f t="shared" ref="K37:O37" si="33">B37*100</f>
        <v>37.02806003542463</v>
      </c>
      <c r="L37" s="5">
        <f t="shared" si="33"/>
        <v>36.133122028526152</v>
      </c>
      <c r="M37" s="5">
        <f t="shared" si="33"/>
        <v>51.235200894938004</v>
      </c>
      <c r="N37" s="5">
        <f t="shared" si="33"/>
        <v>47.31984711475716</v>
      </c>
      <c r="O37" s="5">
        <f t="shared" si="33"/>
        <v>42.929057518411483</v>
      </c>
      <c r="P37" s="3">
        <v>3.7212956414630474E-2</v>
      </c>
      <c r="Q37" s="4" t="s">
        <v>83</v>
      </c>
      <c r="R37" s="1" t="s">
        <v>82</v>
      </c>
      <c r="S37" s="5">
        <v>7</v>
      </c>
    </row>
    <row r="38" spans="1:19" x14ac:dyDescent="0.2">
      <c r="A38" s="1" t="s">
        <v>84</v>
      </c>
      <c r="B38" s="2">
        <v>0.45306236599235572</v>
      </c>
      <c r="C38" s="2">
        <v>0.44299431341474782</v>
      </c>
      <c r="D38" s="2">
        <v>0.47058823529411764</v>
      </c>
      <c r="E38" s="2">
        <v>0.41502750069917033</v>
      </c>
      <c r="F38" s="2">
        <v>0.44541810385009789</v>
      </c>
      <c r="G38" s="3">
        <v>4.0686842269605325E-2</v>
      </c>
      <c r="H38" s="4" t="s">
        <v>85</v>
      </c>
      <c r="I38" s="1" t="s">
        <v>84</v>
      </c>
      <c r="J38" s="4" t="s">
        <v>85</v>
      </c>
      <c r="K38" s="5">
        <f t="shared" ref="K38:O38" si="34">B38*100</f>
        <v>45.306236599235575</v>
      </c>
      <c r="L38" s="5">
        <f t="shared" si="34"/>
        <v>44.299431341474779</v>
      </c>
      <c r="M38" s="5">
        <f t="shared" si="34"/>
        <v>47.058823529411761</v>
      </c>
      <c r="N38" s="5">
        <f t="shared" si="34"/>
        <v>41.502750069917035</v>
      </c>
      <c r="O38" s="5">
        <f t="shared" si="34"/>
        <v>44.541810385009789</v>
      </c>
      <c r="P38" s="3">
        <v>4.0686842269605325E-2</v>
      </c>
      <c r="Q38" s="4" t="s">
        <v>85</v>
      </c>
      <c r="R38" s="1" t="s">
        <v>84</v>
      </c>
      <c r="S38" s="5">
        <v>7</v>
      </c>
    </row>
    <row r="39" spans="1:19" x14ac:dyDescent="0.2">
      <c r="A39" s="1" t="s">
        <v>86</v>
      </c>
      <c r="C39" s="7">
        <v>0.32219016744490381</v>
      </c>
      <c r="D39" s="6">
        <v>0.49308509056300748</v>
      </c>
      <c r="E39" s="7">
        <v>0.54138536121107572</v>
      </c>
      <c r="F39" s="2">
        <v>0.45222020640632898</v>
      </c>
      <c r="G39" s="3">
        <v>5.4200056285692568E-3</v>
      </c>
      <c r="H39" s="4" t="s">
        <v>87</v>
      </c>
      <c r="I39" s="1" t="s">
        <v>86</v>
      </c>
      <c r="J39" s="4" t="s">
        <v>87</v>
      </c>
      <c r="L39" s="5">
        <f t="shared" ref="L39:O39" si="35">C39*100</f>
        <v>32.219016744490382</v>
      </c>
      <c r="M39" s="5">
        <f t="shared" si="35"/>
        <v>49.30850905630075</v>
      </c>
      <c r="N39" s="5">
        <f t="shared" si="35"/>
        <v>54.13853612110757</v>
      </c>
      <c r="O39" s="5">
        <f t="shared" si="35"/>
        <v>45.222020640632898</v>
      </c>
      <c r="P39" s="3">
        <v>5.4200056285692568E-3</v>
      </c>
      <c r="Q39" s="4" t="s">
        <v>87</v>
      </c>
      <c r="R39" s="1" t="s">
        <v>86</v>
      </c>
      <c r="S39" s="5">
        <v>7</v>
      </c>
    </row>
    <row r="40" spans="1:19" x14ac:dyDescent="0.2">
      <c r="A40" s="1" t="s">
        <v>88</v>
      </c>
      <c r="C40" s="2">
        <v>0.43740652880202158</v>
      </c>
      <c r="D40" s="2">
        <v>0.39857408075911505</v>
      </c>
      <c r="E40" s="2">
        <v>0.52265226135836218</v>
      </c>
      <c r="F40" s="2">
        <v>0.45287762363983292</v>
      </c>
      <c r="G40" s="3">
        <v>4.0974156330320755E-2</v>
      </c>
      <c r="H40" s="4" t="s">
        <v>89</v>
      </c>
      <c r="I40" s="1" t="s">
        <v>88</v>
      </c>
      <c r="J40" s="4" t="s">
        <v>89</v>
      </c>
      <c r="L40" s="5">
        <f t="shared" ref="L40:O40" si="36">C40*100</f>
        <v>43.740652880202155</v>
      </c>
      <c r="M40" s="5">
        <f t="shared" si="36"/>
        <v>39.857408075911508</v>
      </c>
      <c r="N40" s="5">
        <f t="shared" si="36"/>
        <v>52.265226135836215</v>
      </c>
      <c r="O40" s="5">
        <f t="shared" si="36"/>
        <v>45.28776236398329</v>
      </c>
      <c r="P40" s="3">
        <v>4.0974156330320755E-2</v>
      </c>
      <c r="Q40" s="4" t="s">
        <v>89</v>
      </c>
      <c r="R40" s="1" t="s">
        <v>88</v>
      </c>
      <c r="S40" s="5">
        <v>4</v>
      </c>
    </row>
    <row r="41" spans="1:19" x14ac:dyDescent="0.2">
      <c r="A41" s="1" t="s">
        <v>90</v>
      </c>
      <c r="C41" s="7">
        <v>0.63056314785209633</v>
      </c>
      <c r="D41" s="6">
        <v>0.33850755505131247</v>
      </c>
      <c r="E41" s="7">
        <v>0.46316590170697747</v>
      </c>
      <c r="F41" s="2">
        <v>0.47741220153679542</v>
      </c>
      <c r="G41" s="3">
        <v>3.8182330970743084E-2</v>
      </c>
      <c r="H41" s="4" t="s">
        <v>91</v>
      </c>
      <c r="I41" s="1" t="s">
        <v>90</v>
      </c>
      <c r="J41" s="4" t="s">
        <v>91</v>
      </c>
      <c r="L41" s="5">
        <f t="shared" ref="L41:O41" si="37">C41*100</f>
        <v>63.056314785209636</v>
      </c>
      <c r="M41" s="5">
        <f t="shared" si="37"/>
        <v>33.850755505131247</v>
      </c>
      <c r="N41" s="5">
        <f t="shared" si="37"/>
        <v>46.316590170697744</v>
      </c>
      <c r="O41" s="5">
        <f t="shared" si="37"/>
        <v>47.741220153679542</v>
      </c>
      <c r="P41" s="3">
        <v>3.8182330970743084E-2</v>
      </c>
      <c r="Q41" s="4" t="s">
        <v>91</v>
      </c>
      <c r="R41" s="1" t="s">
        <v>90</v>
      </c>
      <c r="S41" s="5">
        <v>4</v>
      </c>
    </row>
    <row r="42" spans="1:19" x14ac:dyDescent="0.2">
      <c r="A42" s="1" t="s">
        <v>92</v>
      </c>
      <c r="C42" s="2">
        <v>0.2930434523986557</v>
      </c>
      <c r="D42" s="2">
        <v>0.60095767778009102</v>
      </c>
      <c r="E42" s="2">
        <v>0.55634535883175207</v>
      </c>
      <c r="F42" s="2">
        <v>0.48344882967016628</v>
      </c>
      <c r="G42" s="3">
        <v>1.495164589978451E-2</v>
      </c>
      <c r="H42" s="4" t="s">
        <v>93</v>
      </c>
      <c r="I42" s="1" t="s">
        <v>92</v>
      </c>
      <c r="J42" s="4" t="s">
        <v>93</v>
      </c>
      <c r="L42" s="5">
        <f t="shared" ref="L42:O42" si="38">C42*100</f>
        <v>29.304345239865569</v>
      </c>
      <c r="M42" s="5">
        <f t="shared" si="38"/>
        <v>60.095767778009105</v>
      </c>
      <c r="N42" s="5">
        <f t="shared" si="38"/>
        <v>55.634535883175204</v>
      </c>
      <c r="O42" s="5">
        <f t="shared" si="38"/>
        <v>48.34488296701663</v>
      </c>
      <c r="P42" s="3">
        <v>1.495164589978451E-2</v>
      </c>
      <c r="Q42" s="4" t="s">
        <v>93</v>
      </c>
      <c r="R42" s="1" t="s">
        <v>92</v>
      </c>
      <c r="S42" s="5">
        <v>7</v>
      </c>
    </row>
    <row r="43" spans="1:19" x14ac:dyDescent="0.2">
      <c r="A43" s="1" t="s">
        <v>94</v>
      </c>
      <c r="C43" s="2">
        <v>0.31859144038307113</v>
      </c>
      <c r="D43" s="2">
        <v>0.68524521904648605</v>
      </c>
      <c r="E43" s="2">
        <v>0.65916188323469049</v>
      </c>
      <c r="F43" s="2">
        <v>0.55433284755474921</v>
      </c>
      <c r="G43" s="3">
        <v>3.0515650144994706E-2</v>
      </c>
      <c r="H43" s="4" t="s">
        <v>95</v>
      </c>
      <c r="I43" s="1" t="s">
        <v>94</v>
      </c>
      <c r="J43" s="4" t="s">
        <v>95</v>
      </c>
      <c r="L43" s="5">
        <f t="shared" ref="L43:O43" si="39">C43*100</f>
        <v>31.859144038307114</v>
      </c>
      <c r="M43" s="5">
        <f t="shared" si="39"/>
        <v>68.524521904648608</v>
      </c>
      <c r="N43" s="5">
        <f t="shared" si="39"/>
        <v>65.916188323469044</v>
      </c>
      <c r="O43" s="5">
        <f t="shared" si="39"/>
        <v>55.433284755474922</v>
      </c>
      <c r="P43" s="3">
        <v>3.0515650144994706E-2</v>
      </c>
      <c r="Q43" s="4" t="s">
        <v>95</v>
      </c>
      <c r="R43" s="1" t="s">
        <v>94</v>
      </c>
      <c r="S43" s="5">
        <v>7</v>
      </c>
    </row>
    <row r="44" spans="1:19" x14ac:dyDescent="0.2">
      <c r="A44" s="1" t="s">
        <v>96</v>
      </c>
      <c r="C44" s="2">
        <v>0.80950539809059274</v>
      </c>
      <c r="D44" s="2">
        <v>0.42875412663950274</v>
      </c>
      <c r="E44" s="2">
        <v>0.52934003509502425</v>
      </c>
      <c r="F44" s="2">
        <v>0.58919985327503988</v>
      </c>
      <c r="G44" s="3">
        <v>3.3110281728280837E-2</v>
      </c>
      <c r="H44" s="4" t="s">
        <v>97</v>
      </c>
      <c r="I44" s="1" t="s">
        <v>96</v>
      </c>
      <c r="J44" s="4" t="s">
        <v>97</v>
      </c>
      <c r="L44" s="5">
        <f t="shared" ref="L44:O44" si="40">C44*100</f>
        <v>80.950539809059279</v>
      </c>
      <c r="M44" s="5">
        <f t="shared" si="40"/>
        <v>42.875412663950272</v>
      </c>
      <c r="N44" s="5">
        <f t="shared" si="40"/>
        <v>52.934003509502425</v>
      </c>
      <c r="O44" s="5">
        <f t="shared" si="40"/>
        <v>58.919985327503987</v>
      </c>
      <c r="P44" s="3">
        <v>3.3110281728280837E-2</v>
      </c>
      <c r="Q44" s="4" t="s">
        <v>97</v>
      </c>
      <c r="R44" s="1" t="s">
        <v>96</v>
      </c>
      <c r="S44" s="5">
        <v>7</v>
      </c>
    </row>
    <row r="45" spans="1:19" x14ac:dyDescent="0.2">
      <c r="A45" s="1" t="s">
        <v>98</v>
      </c>
      <c r="C45" s="2">
        <v>0.41290188263985961</v>
      </c>
      <c r="D45" s="2">
        <v>0.71061475775510807</v>
      </c>
      <c r="E45" s="2">
        <v>0.69324569491122146</v>
      </c>
      <c r="F45" s="2">
        <v>0.60558744510206308</v>
      </c>
      <c r="G45" s="3">
        <v>2.5660336371461961E-2</v>
      </c>
      <c r="H45" s="4" t="s">
        <v>99</v>
      </c>
      <c r="I45" s="1" t="s">
        <v>98</v>
      </c>
      <c r="J45" s="4" t="s">
        <v>99</v>
      </c>
      <c r="L45" s="5">
        <f t="shared" ref="L45:O45" si="41">C45*100</f>
        <v>41.290188263985961</v>
      </c>
      <c r="M45" s="5">
        <f t="shared" si="41"/>
        <v>71.061475775510814</v>
      </c>
      <c r="N45" s="5">
        <f t="shared" si="41"/>
        <v>69.324569491122148</v>
      </c>
      <c r="O45" s="5">
        <f t="shared" si="41"/>
        <v>60.55874451020631</v>
      </c>
      <c r="P45" s="3">
        <v>2.5660336371461961E-2</v>
      </c>
      <c r="Q45" s="4" t="s">
        <v>99</v>
      </c>
      <c r="R45" s="1" t="s">
        <v>98</v>
      </c>
      <c r="S45" s="5">
        <v>7</v>
      </c>
    </row>
    <row r="46" spans="1:19" x14ac:dyDescent="0.2">
      <c r="A46" s="1" t="s">
        <v>100</v>
      </c>
      <c r="C46" s="7">
        <v>0.76474437141242602</v>
      </c>
      <c r="D46" s="6">
        <v>0.49995538768105169</v>
      </c>
      <c r="E46" s="6">
        <v>0.57160277191208397</v>
      </c>
      <c r="F46" s="2">
        <v>0.61210084366852058</v>
      </c>
      <c r="G46" s="3">
        <v>1.7268098359599672E-2</v>
      </c>
      <c r="H46" s="4" t="s">
        <v>101</v>
      </c>
      <c r="I46" s="1" t="s">
        <v>100</v>
      </c>
      <c r="J46" s="4" t="s">
        <v>101</v>
      </c>
      <c r="L46" s="5">
        <f t="shared" ref="L46:O46" si="42">C46*100</f>
        <v>76.474437141242603</v>
      </c>
      <c r="M46" s="5">
        <f t="shared" si="42"/>
        <v>49.99553876810517</v>
      </c>
      <c r="N46" s="5">
        <f t="shared" si="42"/>
        <v>57.160277191208394</v>
      </c>
      <c r="O46" s="5">
        <f t="shared" si="42"/>
        <v>61.210084366852058</v>
      </c>
      <c r="P46" s="3">
        <v>1.7268098359599672E-2</v>
      </c>
      <c r="Q46" s="4" t="s">
        <v>101</v>
      </c>
      <c r="R46" s="1" t="s">
        <v>100</v>
      </c>
      <c r="S46" s="5">
        <v>7</v>
      </c>
    </row>
    <row r="47" spans="1:19" x14ac:dyDescent="0.2">
      <c r="A47" s="1" t="s">
        <v>102</v>
      </c>
      <c r="C47" s="7">
        <v>0.8098028135502483</v>
      </c>
      <c r="D47" s="6">
        <v>0.63266216577937717</v>
      </c>
      <c r="E47" s="6">
        <v>0.50655801088540586</v>
      </c>
      <c r="F47" s="2">
        <v>0.64967433007167708</v>
      </c>
      <c r="G47" s="3">
        <v>2.6639498233306282E-2</v>
      </c>
      <c r="H47" s="4" t="s">
        <v>103</v>
      </c>
      <c r="I47" s="1" t="s">
        <v>102</v>
      </c>
      <c r="J47" s="4" t="s">
        <v>103</v>
      </c>
      <c r="L47" s="5">
        <f t="shared" ref="L47:O47" si="43">C47*100</f>
        <v>80.980281355024829</v>
      </c>
      <c r="M47" s="5">
        <f t="shared" si="43"/>
        <v>63.266216577937719</v>
      </c>
      <c r="N47" s="5">
        <f t="shared" si="43"/>
        <v>50.655801088540585</v>
      </c>
      <c r="O47" s="5">
        <f t="shared" si="43"/>
        <v>64.967433007167713</v>
      </c>
      <c r="P47" s="3">
        <v>2.6639498233306282E-2</v>
      </c>
      <c r="Q47" s="4" t="s">
        <v>103</v>
      </c>
      <c r="R47" s="1" t="s">
        <v>102</v>
      </c>
      <c r="S47" s="5">
        <v>7</v>
      </c>
    </row>
    <row r="48" spans="1:19" x14ac:dyDescent="0.2">
      <c r="A48" s="1" t="s">
        <v>104</v>
      </c>
      <c r="C48" s="2">
        <v>0.83469648752342152</v>
      </c>
      <c r="D48" s="2">
        <v>0.86512208904618859</v>
      </c>
      <c r="E48" s="2">
        <v>0.70680783987151652</v>
      </c>
      <c r="F48" s="2">
        <v>0.80220880548037554</v>
      </c>
      <c r="G48" s="3">
        <v>2.1796239880217849E-2</v>
      </c>
      <c r="H48" s="4" t="s">
        <v>105</v>
      </c>
      <c r="I48" s="1" t="s">
        <v>104</v>
      </c>
      <c r="J48" s="4" t="s">
        <v>105</v>
      </c>
      <c r="L48" s="5">
        <f t="shared" ref="L48:O48" si="44">C48*100</f>
        <v>83.469648752342152</v>
      </c>
      <c r="M48" s="5">
        <f t="shared" si="44"/>
        <v>86.512208904618859</v>
      </c>
      <c r="N48" s="5">
        <f t="shared" si="44"/>
        <v>70.680783987151656</v>
      </c>
      <c r="O48" s="5">
        <f t="shared" si="44"/>
        <v>80.220880548037556</v>
      </c>
      <c r="P48" s="3">
        <v>2.1796239880217849E-2</v>
      </c>
      <c r="Q48" s="4" t="s">
        <v>105</v>
      </c>
      <c r="R48" s="1" t="s">
        <v>104</v>
      </c>
      <c r="S48" s="5">
        <v>7</v>
      </c>
    </row>
    <row r="49" spans="1:19" x14ac:dyDescent="0.2">
      <c r="A49" s="1" t="s">
        <v>106</v>
      </c>
      <c r="C49" s="2">
        <v>0.8568539392677631</v>
      </c>
      <c r="D49" s="2">
        <v>0.90369687416351907</v>
      </c>
      <c r="E49" s="2">
        <v>0.70936561282455457</v>
      </c>
      <c r="F49" s="2">
        <v>0.82330547541861221</v>
      </c>
      <c r="G49" s="3">
        <v>4.2536525150001642E-2</v>
      </c>
      <c r="H49" s="4" t="s">
        <v>107</v>
      </c>
      <c r="I49" s="1" t="s">
        <v>106</v>
      </c>
      <c r="J49" s="4" t="s">
        <v>107</v>
      </c>
      <c r="L49" s="5">
        <f t="shared" ref="L49:O49" si="45">C49*100</f>
        <v>85.685393926776314</v>
      </c>
      <c r="M49" s="5">
        <f t="shared" si="45"/>
        <v>90.369687416351908</v>
      </c>
      <c r="N49" s="5">
        <f t="shared" si="45"/>
        <v>70.936561282455457</v>
      </c>
      <c r="O49" s="5">
        <f t="shared" si="45"/>
        <v>82.330547541861222</v>
      </c>
      <c r="P49" s="3">
        <v>4.2536525150001642E-2</v>
      </c>
      <c r="Q49" s="4" t="s">
        <v>107</v>
      </c>
      <c r="R49" s="1" t="s">
        <v>106</v>
      </c>
      <c r="S49" s="5">
        <v>7</v>
      </c>
    </row>
    <row r="50" spans="1:19" x14ac:dyDescent="0.2">
      <c r="A50" s="1" t="s">
        <v>108</v>
      </c>
      <c r="C50" s="2">
        <v>0.80554977247717341</v>
      </c>
      <c r="D50" s="2">
        <v>0.91910299497367876</v>
      </c>
      <c r="E50" s="2">
        <v>0.90435118817476134</v>
      </c>
      <c r="F50" s="2">
        <v>0.87633465187520443</v>
      </c>
      <c r="G50" s="3">
        <v>2.797983034626091E-2</v>
      </c>
      <c r="H50" s="4" t="s">
        <v>109</v>
      </c>
      <c r="I50" s="1" t="s">
        <v>108</v>
      </c>
      <c r="J50" s="4" t="s">
        <v>109</v>
      </c>
      <c r="L50" s="5">
        <f t="shared" ref="L50:O50" si="46">C50*100</f>
        <v>80.554977247717346</v>
      </c>
      <c r="M50" s="5">
        <f t="shared" si="46"/>
        <v>91.910299497367873</v>
      </c>
      <c r="N50" s="5">
        <f t="shared" si="46"/>
        <v>90.435118817476138</v>
      </c>
      <c r="O50" s="5">
        <f t="shared" si="46"/>
        <v>87.633465187520443</v>
      </c>
      <c r="P50" s="3">
        <v>2.797983034626091E-2</v>
      </c>
      <c r="Q50" s="4" t="s">
        <v>109</v>
      </c>
      <c r="R50" s="1" t="s">
        <v>108</v>
      </c>
      <c r="S50" s="5">
        <v>7</v>
      </c>
    </row>
    <row r="51" spans="1:19" x14ac:dyDescent="0.2">
      <c r="A51" s="1" t="s">
        <v>58</v>
      </c>
      <c r="C51" s="2">
        <v>0.51060286113672193</v>
      </c>
      <c r="D51" s="2">
        <v>0.84617672426612733</v>
      </c>
      <c r="E51" s="2">
        <v>1.3376855128929601</v>
      </c>
      <c r="F51" s="2">
        <v>0.89815503276526987</v>
      </c>
      <c r="G51" s="3">
        <v>0.35652880806006948</v>
      </c>
      <c r="H51" s="4" t="s">
        <v>59</v>
      </c>
      <c r="I51" s="1" t="s">
        <v>58</v>
      </c>
      <c r="J51" s="4" t="s">
        <v>59</v>
      </c>
      <c r="L51" s="5">
        <f t="shared" ref="L51:O51" si="47">C51*100</f>
        <v>51.060286113672191</v>
      </c>
      <c r="M51" s="5">
        <f t="shared" si="47"/>
        <v>84.617672426612728</v>
      </c>
      <c r="N51" s="5">
        <f t="shared" si="47"/>
        <v>133.768551289296</v>
      </c>
      <c r="O51" s="5">
        <f t="shared" si="47"/>
        <v>89.815503276526982</v>
      </c>
      <c r="P51" s="3">
        <v>0.35652880806006948</v>
      </c>
      <c r="Q51" s="4" t="s">
        <v>59</v>
      </c>
      <c r="R51" s="1" t="s">
        <v>58</v>
      </c>
      <c r="S51" s="5">
        <v>4</v>
      </c>
    </row>
    <row r="52" spans="1:19" x14ac:dyDescent="0.2">
      <c r="A52" s="1" t="s">
        <v>11</v>
      </c>
      <c r="C52" s="2">
        <v>0.89834339588971834</v>
      </c>
      <c r="D52" s="2">
        <v>1.1611991791333314</v>
      </c>
      <c r="E52" s="2">
        <v>0.87808940308717243</v>
      </c>
      <c r="F52" s="2">
        <v>0.97921065937007401</v>
      </c>
      <c r="G52" s="3">
        <v>0.42107876655341425</v>
      </c>
      <c r="H52" s="4" t="s">
        <v>12</v>
      </c>
      <c r="I52" s="1" t="s">
        <v>11</v>
      </c>
      <c r="J52" s="4" t="s">
        <v>12</v>
      </c>
      <c r="L52" s="5">
        <f t="shared" ref="L52:O52" si="48">C52*100</f>
        <v>89.834339588971829</v>
      </c>
      <c r="M52" s="5">
        <f t="shared" si="48"/>
        <v>116.11991791333314</v>
      </c>
      <c r="N52" s="5">
        <f t="shared" si="48"/>
        <v>87.80894030871724</v>
      </c>
      <c r="O52" s="5">
        <f t="shared" si="48"/>
        <v>97.921065937007398</v>
      </c>
      <c r="P52" s="3">
        <v>0.42107876655341425</v>
      </c>
      <c r="Q52" s="4" t="s">
        <v>12</v>
      </c>
      <c r="R52" s="1" t="s">
        <v>11</v>
      </c>
      <c r="S52" s="5">
        <v>4</v>
      </c>
    </row>
    <row r="53" spans="1:19" x14ac:dyDescent="0.2">
      <c r="A53" s="1" t="s">
        <v>110</v>
      </c>
      <c r="C53" s="7">
        <v>0.48651220890461888</v>
      </c>
      <c r="D53" s="6">
        <v>0.72515837373226655</v>
      </c>
      <c r="E53" s="7">
        <v>1.9361746423579098E-2</v>
      </c>
      <c r="F53" s="2">
        <v>0.4103441096868215</v>
      </c>
      <c r="G53" s="2">
        <v>5.181866031979402E-2</v>
      </c>
      <c r="H53" s="4" t="s">
        <v>111</v>
      </c>
      <c r="I53" s="1" t="s">
        <v>110</v>
      </c>
      <c r="J53" s="4" t="s">
        <v>111</v>
      </c>
      <c r="L53" s="5">
        <f t="shared" ref="L53:O53" si="49">C53*100</f>
        <v>48.651220890461886</v>
      </c>
      <c r="M53" s="5">
        <f t="shared" si="49"/>
        <v>72.51583737322666</v>
      </c>
      <c r="N53" s="5">
        <f t="shared" si="49"/>
        <v>1.9361746423579098</v>
      </c>
      <c r="O53" s="5">
        <f t="shared" si="49"/>
        <v>41.034410968682153</v>
      </c>
      <c r="P53" s="2">
        <v>5.181866031979402E-2</v>
      </c>
      <c r="Q53" s="4" t="s">
        <v>111</v>
      </c>
      <c r="R53" s="1" t="s">
        <v>110</v>
      </c>
      <c r="S53" s="5">
        <v>7</v>
      </c>
    </row>
    <row r="54" spans="1:19" x14ac:dyDescent="0.2">
      <c r="A54" s="1" t="s">
        <v>112</v>
      </c>
      <c r="C54" s="7">
        <v>0.90529111443453147</v>
      </c>
      <c r="D54" s="6">
        <v>0.50265587128049094</v>
      </c>
      <c r="E54" s="7">
        <v>0.24974214841936981</v>
      </c>
      <c r="F54" s="2">
        <v>0.55256304471146411</v>
      </c>
      <c r="G54" s="2">
        <v>7.9340138064432533E-2</v>
      </c>
      <c r="H54" s="4" t="s">
        <v>113</v>
      </c>
      <c r="I54" s="1" t="s">
        <v>112</v>
      </c>
      <c r="J54" s="4" t="s">
        <v>113</v>
      </c>
      <c r="L54" s="5">
        <f t="shared" ref="L54:O54" si="50">C54*100</f>
        <v>90.529111443453147</v>
      </c>
      <c r="M54" s="5">
        <f t="shared" si="50"/>
        <v>50.265587128049091</v>
      </c>
      <c r="N54" s="5">
        <f t="shared" si="50"/>
        <v>24.97421484193698</v>
      </c>
      <c r="O54" s="5">
        <f t="shared" si="50"/>
        <v>55.256304471146414</v>
      </c>
      <c r="P54" s="2">
        <v>7.9340138064432533E-2</v>
      </c>
      <c r="Q54" s="4" t="s">
        <v>113</v>
      </c>
      <c r="R54" s="1" t="s">
        <v>112</v>
      </c>
      <c r="S54" s="5">
        <v>4</v>
      </c>
    </row>
    <row r="55" spans="1:19" x14ac:dyDescent="0.2">
      <c r="A55" s="1" t="s">
        <v>114</v>
      </c>
      <c r="B55" s="2">
        <v>0.59028619371678936</v>
      </c>
      <c r="C55" s="7">
        <v>0.54255616668220374</v>
      </c>
      <c r="D55" s="6">
        <v>0.63764332991516737</v>
      </c>
      <c r="E55" s="6">
        <v>0.46574065442341755</v>
      </c>
      <c r="F55" s="2">
        <v>0.55905658618439447</v>
      </c>
      <c r="G55" s="2">
        <v>6.5528948354933073E-2</v>
      </c>
      <c r="H55" s="4" t="s">
        <v>115</v>
      </c>
      <c r="I55" s="1" t="s">
        <v>114</v>
      </c>
      <c r="J55" s="4" t="s">
        <v>115</v>
      </c>
      <c r="K55" s="5">
        <f t="shared" ref="K55:O55" si="51">B55*100</f>
        <v>59.028619371678936</v>
      </c>
      <c r="L55" s="5">
        <f t="shared" si="51"/>
        <v>54.255616668220377</v>
      </c>
      <c r="M55" s="5">
        <f t="shared" si="51"/>
        <v>63.764332991516739</v>
      </c>
      <c r="N55" s="5">
        <f t="shared" si="51"/>
        <v>46.574065442341755</v>
      </c>
      <c r="O55" s="5">
        <f t="shared" si="51"/>
        <v>55.905658618439446</v>
      </c>
      <c r="P55" s="2">
        <v>6.5528948354933073E-2</v>
      </c>
      <c r="Q55" s="4" t="s">
        <v>115</v>
      </c>
      <c r="R55" s="1" t="s">
        <v>114</v>
      </c>
      <c r="S55" s="5">
        <v>7</v>
      </c>
    </row>
    <row r="56" spans="1:19" x14ac:dyDescent="0.2">
      <c r="A56" s="1" t="s">
        <v>116</v>
      </c>
      <c r="B56" s="2">
        <v>0.58804884869954321</v>
      </c>
      <c r="C56" s="2">
        <v>0.60072713713060499</v>
      </c>
      <c r="D56" s="2">
        <v>0.46163885522513282</v>
      </c>
      <c r="E56" s="2">
        <v>0.61004940803579755</v>
      </c>
      <c r="F56" s="2">
        <v>0.56511606227276967</v>
      </c>
      <c r="G56" s="2">
        <v>6.7428422736044713E-2</v>
      </c>
      <c r="H56" s="4" t="s">
        <v>117</v>
      </c>
      <c r="I56" s="1" t="s">
        <v>116</v>
      </c>
      <c r="J56" s="4" t="s">
        <v>117</v>
      </c>
      <c r="K56" s="5">
        <f t="shared" ref="K56:O56" si="52">B56*100</f>
        <v>58.804884869954321</v>
      </c>
      <c r="L56" s="5">
        <f t="shared" si="52"/>
        <v>60.072713713060502</v>
      </c>
      <c r="M56" s="5">
        <f t="shared" si="52"/>
        <v>46.163885522513283</v>
      </c>
      <c r="N56" s="5">
        <f t="shared" si="52"/>
        <v>61.004940803579757</v>
      </c>
      <c r="O56" s="5">
        <f t="shared" si="52"/>
        <v>56.511606227276964</v>
      </c>
      <c r="P56" s="2">
        <v>6.7428422736044713E-2</v>
      </c>
      <c r="Q56" s="4" t="s">
        <v>117</v>
      </c>
      <c r="R56" s="1" t="s">
        <v>116</v>
      </c>
      <c r="S56" s="5">
        <v>7</v>
      </c>
    </row>
    <row r="57" spans="1:19" x14ac:dyDescent="0.2">
      <c r="A57" s="1" t="s">
        <v>118</v>
      </c>
      <c r="B57" s="2">
        <v>0.46201174606134054</v>
      </c>
      <c r="C57" s="7">
        <v>0.66374568844970638</v>
      </c>
      <c r="D57" s="6">
        <v>0.59811690127715111</v>
      </c>
      <c r="E57" s="6">
        <v>0.62757527733755947</v>
      </c>
      <c r="F57" s="2">
        <v>0.58786240328143935</v>
      </c>
      <c r="G57" s="2">
        <v>7.4747355792668335E-2</v>
      </c>
      <c r="H57" s="4" t="s">
        <v>119</v>
      </c>
      <c r="I57" s="1" t="s">
        <v>118</v>
      </c>
      <c r="J57" s="4" t="s">
        <v>119</v>
      </c>
      <c r="K57" s="5">
        <f t="shared" ref="K57:O57" si="53">B57*100</f>
        <v>46.201174606134053</v>
      </c>
      <c r="L57" s="5">
        <f t="shared" si="53"/>
        <v>66.374568844970639</v>
      </c>
      <c r="M57" s="5">
        <f t="shared" si="53"/>
        <v>59.81169012771511</v>
      </c>
      <c r="N57" s="5">
        <f t="shared" si="53"/>
        <v>62.75752773375595</v>
      </c>
      <c r="O57" s="5">
        <f t="shared" si="53"/>
        <v>58.786240328143933</v>
      </c>
      <c r="P57" s="2">
        <v>7.4747355792668335E-2</v>
      </c>
      <c r="Q57" s="4" t="s">
        <v>119</v>
      </c>
      <c r="R57" s="1" t="s">
        <v>118</v>
      </c>
      <c r="S57" s="5">
        <v>7</v>
      </c>
    </row>
    <row r="58" spans="1:19" x14ac:dyDescent="0.2">
      <c r="A58" s="1" t="s">
        <v>120</v>
      </c>
      <c r="C58" s="7">
        <v>0.94030871724712251</v>
      </c>
      <c r="D58" s="6">
        <v>0.43690331023406598</v>
      </c>
      <c r="E58" s="6">
        <v>0.39577075216369745</v>
      </c>
      <c r="F58" s="2">
        <v>0.59099425988162868</v>
      </c>
      <c r="G58" s="2">
        <v>7.1672412175857556E-2</v>
      </c>
      <c r="H58" s="4" t="s">
        <v>121</v>
      </c>
      <c r="I58" s="1" t="s">
        <v>120</v>
      </c>
      <c r="J58" s="4" t="s">
        <v>121</v>
      </c>
      <c r="L58" s="5">
        <f t="shared" ref="L58:O58" si="54">C58*100</f>
        <v>94.030871724712256</v>
      </c>
      <c r="M58" s="5">
        <f t="shared" si="54"/>
        <v>43.6903310234066</v>
      </c>
      <c r="N58" s="5">
        <f t="shared" si="54"/>
        <v>39.577075216369742</v>
      </c>
      <c r="O58" s="5">
        <f t="shared" si="54"/>
        <v>59.099425988162871</v>
      </c>
      <c r="P58" s="2">
        <v>7.1672412175857556E-2</v>
      </c>
      <c r="Q58" s="4" t="s">
        <v>121</v>
      </c>
      <c r="R58" s="1" t="s">
        <v>120</v>
      </c>
      <c r="S58" s="5">
        <v>7</v>
      </c>
    </row>
    <row r="59" spans="1:19" x14ac:dyDescent="0.2">
      <c r="A59" s="1" t="s">
        <v>122</v>
      </c>
      <c r="C59" s="7">
        <v>0.89884900217113284</v>
      </c>
      <c r="D59" s="6">
        <v>0.40389019421229516</v>
      </c>
      <c r="E59" s="6">
        <v>0.5147666775719002</v>
      </c>
      <c r="F59" s="2">
        <v>0.60583529131844271</v>
      </c>
      <c r="G59" s="2">
        <v>5.8850389663109744E-2</v>
      </c>
      <c r="H59" s="4" t="s">
        <v>123</v>
      </c>
      <c r="I59" s="1" t="s">
        <v>122</v>
      </c>
      <c r="J59" s="4" t="s">
        <v>123</v>
      </c>
      <c r="L59" s="5">
        <f t="shared" ref="L59:O59" si="55">C59*100</f>
        <v>89.884900217113284</v>
      </c>
      <c r="M59" s="5">
        <f t="shared" si="55"/>
        <v>40.389019421229513</v>
      </c>
      <c r="N59" s="5">
        <f t="shared" si="55"/>
        <v>51.476667757190022</v>
      </c>
      <c r="O59" s="5">
        <f t="shared" si="55"/>
        <v>60.583529131844273</v>
      </c>
      <c r="P59" s="2">
        <v>5.8850389663109744E-2</v>
      </c>
      <c r="Q59" s="4" t="s">
        <v>123</v>
      </c>
      <c r="R59" s="1" t="s">
        <v>122</v>
      </c>
      <c r="S59" s="5">
        <v>7</v>
      </c>
    </row>
    <row r="60" spans="1:19" x14ac:dyDescent="0.2">
      <c r="A60" s="1" t="s">
        <v>124</v>
      </c>
      <c r="B60" s="2">
        <v>0.36916192784562318</v>
      </c>
      <c r="C60" s="2">
        <v>0.60259159131164353</v>
      </c>
      <c r="D60" s="2">
        <v>0.68910226531182994</v>
      </c>
      <c r="E60" s="2">
        <v>0.79873217115689377</v>
      </c>
      <c r="F60" s="2">
        <v>0.61489698890649758</v>
      </c>
      <c r="G60" s="2">
        <v>8.6646443113335248E-2</v>
      </c>
      <c r="H60" s="4" t="s">
        <v>125</v>
      </c>
      <c r="I60" s="1" t="s">
        <v>124</v>
      </c>
      <c r="J60" s="4" t="s">
        <v>125</v>
      </c>
      <c r="K60" s="5">
        <f t="shared" ref="K60:O60" si="56">B60*100</f>
        <v>36.91619278456232</v>
      </c>
      <c r="L60" s="5">
        <f t="shared" si="56"/>
        <v>60.259159131164353</v>
      </c>
      <c r="M60" s="5">
        <f t="shared" si="56"/>
        <v>68.910226531183</v>
      </c>
      <c r="N60" s="5">
        <f t="shared" si="56"/>
        <v>79.873217115689371</v>
      </c>
      <c r="O60" s="5">
        <f t="shared" si="56"/>
        <v>61.489698890649755</v>
      </c>
      <c r="P60" s="2">
        <v>8.6646443113335248E-2</v>
      </c>
      <c r="Q60" s="4" t="s">
        <v>125</v>
      </c>
      <c r="R60" s="1" t="s">
        <v>124</v>
      </c>
      <c r="S60" s="5">
        <v>7</v>
      </c>
    </row>
    <row r="61" spans="1:19" x14ac:dyDescent="0.2">
      <c r="A61" s="1" t="s">
        <v>126</v>
      </c>
      <c r="B61" s="2">
        <v>0.563438053509835</v>
      </c>
      <c r="C61" s="2">
        <v>0.68947515614803767</v>
      </c>
      <c r="D61" s="2">
        <v>0.72825580311363847</v>
      </c>
      <c r="E61" s="2">
        <v>0.64621981914794446</v>
      </c>
      <c r="F61" s="2">
        <v>0.65684720797986385</v>
      </c>
      <c r="G61" s="2">
        <v>0.10414824712177018</v>
      </c>
      <c r="H61" s="4" t="s">
        <v>127</v>
      </c>
      <c r="I61" s="1" t="s">
        <v>126</v>
      </c>
      <c r="J61" s="4" t="s">
        <v>127</v>
      </c>
      <c r="K61" s="5">
        <f t="shared" ref="K61:O61" si="57">B61*100</f>
        <v>56.343805350983502</v>
      </c>
      <c r="L61" s="5">
        <f t="shared" si="57"/>
        <v>68.947515614803763</v>
      </c>
      <c r="M61" s="5">
        <f t="shared" si="57"/>
        <v>72.825580311363851</v>
      </c>
      <c r="N61" s="5">
        <f t="shared" si="57"/>
        <v>64.621981914794446</v>
      </c>
      <c r="O61" s="5">
        <f t="shared" si="57"/>
        <v>65.684720797986387</v>
      </c>
      <c r="P61" s="2">
        <v>0.10414824712177018</v>
      </c>
      <c r="Q61" s="4" t="s">
        <v>127</v>
      </c>
      <c r="R61" s="1" t="s">
        <v>126</v>
      </c>
      <c r="S61" s="5">
        <v>7</v>
      </c>
    </row>
    <row r="62" spans="1:19" x14ac:dyDescent="0.2">
      <c r="A62" s="1" t="s">
        <v>128</v>
      </c>
      <c r="B62" s="2">
        <v>0.39153537801808519</v>
      </c>
      <c r="C62" s="7">
        <v>0.79686771697585534</v>
      </c>
      <c r="D62" s="6">
        <v>0.6682203784841988</v>
      </c>
      <c r="E62" s="7">
        <v>0.77561293931201636</v>
      </c>
      <c r="F62" s="2">
        <v>0.65805910319753891</v>
      </c>
      <c r="G62" s="2">
        <v>0.10816410932388379</v>
      </c>
      <c r="H62" s="4" t="s">
        <v>129</v>
      </c>
      <c r="I62" s="1" t="s">
        <v>128</v>
      </c>
      <c r="J62" s="4" t="s">
        <v>129</v>
      </c>
      <c r="K62" s="5">
        <f t="shared" ref="K62:O62" si="58">B62*100</f>
        <v>39.153537801808518</v>
      </c>
      <c r="L62" s="5">
        <f t="shared" si="58"/>
        <v>79.686771697585527</v>
      </c>
      <c r="M62" s="5">
        <f t="shared" si="58"/>
        <v>66.822037848419882</v>
      </c>
      <c r="N62" s="5">
        <f t="shared" si="58"/>
        <v>77.561293931201632</v>
      </c>
      <c r="O62" s="5">
        <f t="shared" si="58"/>
        <v>65.805910319753892</v>
      </c>
      <c r="P62" s="2">
        <v>0.10816410932388379</v>
      </c>
      <c r="Q62" s="4" t="s">
        <v>129</v>
      </c>
      <c r="R62" s="1" t="s">
        <v>128</v>
      </c>
      <c r="S62" s="5">
        <v>7</v>
      </c>
    </row>
    <row r="63" spans="1:19" x14ac:dyDescent="0.2">
      <c r="A63" s="1" t="s">
        <v>130</v>
      </c>
      <c r="B63" s="2">
        <v>0.59177775706162017</v>
      </c>
      <c r="C63" s="2">
        <v>0.76629066840682392</v>
      </c>
      <c r="D63" s="2">
        <v>0.68500046611354526</v>
      </c>
      <c r="E63" s="2">
        <v>0.60743917218234367</v>
      </c>
      <c r="F63" s="2">
        <v>0.6626270159410832</v>
      </c>
      <c r="G63" s="2">
        <v>0.1071716765994382</v>
      </c>
      <c r="H63" s="4" t="s">
        <v>131</v>
      </c>
      <c r="I63" s="1" t="s">
        <v>130</v>
      </c>
      <c r="J63" s="4" t="s">
        <v>131</v>
      </c>
      <c r="K63" s="5">
        <f t="shared" ref="K63:O63" si="59">B63*100</f>
        <v>59.177775706162016</v>
      </c>
      <c r="L63" s="5">
        <f t="shared" si="59"/>
        <v>76.629066840682398</v>
      </c>
      <c r="M63" s="5">
        <f t="shared" si="59"/>
        <v>68.50004661135452</v>
      </c>
      <c r="N63" s="5">
        <f t="shared" si="59"/>
        <v>60.743917218234365</v>
      </c>
      <c r="O63" s="5">
        <f t="shared" si="59"/>
        <v>66.262701594108322</v>
      </c>
      <c r="P63" s="2">
        <v>0.1071716765994382</v>
      </c>
      <c r="Q63" s="4" t="s">
        <v>131</v>
      </c>
      <c r="R63" s="1" t="s">
        <v>130</v>
      </c>
      <c r="S63" s="5">
        <v>7</v>
      </c>
    </row>
    <row r="64" spans="1:19" x14ac:dyDescent="0.2">
      <c r="A64" s="1" t="s">
        <v>132</v>
      </c>
      <c r="C64" s="7">
        <v>0.35398388008208664</v>
      </c>
      <c r="D64" s="6">
        <v>0.70648068286589538</v>
      </c>
      <c r="E64" s="7">
        <v>1.0041043333432471</v>
      </c>
      <c r="F64" s="2">
        <v>0.6881896320970764</v>
      </c>
      <c r="G64" s="2">
        <v>0.11912507193357658</v>
      </c>
      <c r="H64" s="4" t="s">
        <v>47</v>
      </c>
      <c r="I64" s="1" t="s">
        <v>132</v>
      </c>
      <c r="J64" s="4" t="s">
        <v>47</v>
      </c>
      <c r="L64" s="5">
        <f t="shared" ref="L64:O64" si="60">C64*100</f>
        <v>35.398388008208663</v>
      </c>
      <c r="M64" s="5">
        <f t="shared" si="60"/>
        <v>70.648068286589535</v>
      </c>
      <c r="N64" s="5">
        <f t="shared" si="60"/>
        <v>100.41043333432471</v>
      </c>
      <c r="O64" s="5">
        <f t="shared" si="60"/>
        <v>68.818963209707647</v>
      </c>
      <c r="P64" s="2">
        <v>0.11912507193357658</v>
      </c>
      <c r="Q64" s="4" t="s">
        <v>47</v>
      </c>
      <c r="R64" s="1" t="s">
        <v>132</v>
      </c>
      <c r="S64" s="5">
        <v>4</v>
      </c>
    </row>
    <row r="65" spans="1:19" x14ac:dyDescent="0.2">
      <c r="A65" s="1" t="s">
        <v>133</v>
      </c>
      <c r="B65" s="2">
        <v>1.01500885615736</v>
      </c>
      <c r="C65" s="2">
        <v>0.46275752773375595</v>
      </c>
      <c r="D65" s="2">
        <v>1.0459587955625991</v>
      </c>
      <c r="E65" s="2">
        <v>0.37811130791460801</v>
      </c>
      <c r="F65" s="2">
        <v>0.72545912184208072</v>
      </c>
      <c r="G65" s="2">
        <v>0.18166562880646397</v>
      </c>
      <c r="H65" s="4" t="s">
        <v>134</v>
      </c>
      <c r="I65" s="1" t="s">
        <v>133</v>
      </c>
      <c r="J65" s="4" t="s">
        <v>134</v>
      </c>
      <c r="K65" s="5">
        <f t="shared" ref="K65:O65" si="61">B65*100</f>
        <v>101.500885615736</v>
      </c>
      <c r="L65" s="5">
        <f t="shared" si="61"/>
        <v>46.275752773375594</v>
      </c>
      <c r="M65" s="5">
        <f t="shared" si="61"/>
        <v>104.5958795562599</v>
      </c>
      <c r="N65" s="5">
        <f t="shared" si="61"/>
        <v>37.811130791460798</v>
      </c>
      <c r="O65" s="5">
        <f t="shared" si="61"/>
        <v>72.545912184208078</v>
      </c>
      <c r="P65" s="2">
        <v>0.18166562880646397</v>
      </c>
      <c r="Q65" s="4" t="s">
        <v>134</v>
      </c>
      <c r="R65" s="1" t="s">
        <v>133</v>
      </c>
      <c r="S65" s="5">
        <v>7</v>
      </c>
    </row>
    <row r="66" spans="1:19" x14ac:dyDescent="0.2">
      <c r="A66" s="1" t="s">
        <v>135</v>
      </c>
      <c r="C66" s="7">
        <v>1.0693870267376497</v>
      </c>
      <c r="D66" s="6">
        <v>0.63991910299497368</v>
      </c>
      <c r="E66" s="7">
        <v>0.49585105433780446</v>
      </c>
      <c r="F66" s="2">
        <v>0.73505239469014261</v>
      </c>
      <c r="G66" s="2">
        <v>0.1316319538092614</v>
      </c>
      <c r="H66" s="4" t="s">
        <v>136</v>
      </c>
      <c r="I66" s="1" t="s">
        <v>135</v>
      </c>
      <c r="J66" s="4" t="s">
        <v>136</v>
      </c>
      <c r="L66" s="5">
        <f t="shared" ref="L66:O66" si="62">C66*100</f>
        <v>106.93870267376498</v>
      </c>
      <c r="M66" s="5">
        <f t="shared" si="62"/>
        <v>63.99191029949737</v>
      </c>
      <c r="N66" s="5">
        <f t="shared" si="62"/>
        <v>49.585105433780448</v>
      </c>
      <c r="O66" s="5">
        <f t="shared" si="62"/>
        <v>73.505239469014256</v>
      </c>
      <c r="P66" s="2">
        <v>0.1316319538092614</v>
      </c>
      <c r="Q66" s="4" t="s">
        <v>136</v>
      </c>
      <c r="R66" s="1" t="s">
        <v>135</v>
      </c>
      <c r="S66" s="5">
        <v>7</v>
      </c>
    </row>
    <row r="67" spans="1:19" x14ac:dyDescent="0.2">
      <c r="A67" s="1" t="s">
        <v>137</v>
      </c>
      <c r="B67" s="2">
        <v>0.90239582362263449</v>
      </c>
      <c r="C67" s="2">
        <v>0.89456511606227274</v>
      </c>
      <c r="D67" s="2">
        <v>0.69767875454460704</v>
      </c>
      <c r="E67" s="2">
        <v>0.46723221776824836</v>
      </c>
      <c r="F67" s="2">
        <v>0.74046797799944064</v>
      </c>
      <c r="G67" s="2">
        <v>0.16638731276311264</v>
      </c>
      <c r="H67" s="4" t="s">
        <v>138</v>
      </c>
      <c r="I67" s="1" t="s">
        <v>137</v>
      </c>
      <c r="J67" s="4" t="s">
        <v>138</v>
      </c>
      <c r="K67" s="5">
        <f t="shared" ref="K67:O67" si="63">B67*100</f>
        <v>90.239582362263448</v>
      </c>
      <c r="L67" s="5">
        <f t="shared" si="63"/>
        <v>89.456511606227281</v>
      </c>
      <c r="M67" s="5">
        <f t="shared" si="63"/>
        <v>69.767875454460707</v>
      </c>
      <c r="N67" s="5">
        <f t="shared" si="63"/>
        <v>46.723221776824836</v>
      </c>
      <c r="O67" s="5">
        <f t="shared" si="63"/>
        <v>74.046797799944059</v>
      </c>
      <c r="P67" s="2">
        <v>0.16638731276311264</v>
      </c>
      <c r="Q67" s="4" t="s">
        <v>138</v>
      </c>
      <c r="R67" s="1" t="s">
        <v>137</v>
      </c>
      <c r="S67" s="5">
        <v>7</v>
      </c>
    </row>
    <row r="68" spans="1:19" x14ac:dyDescent="0.2">
      <c r="A68" s="1" t="s">
        <v>139</v>
      </c>
      <c r="B68" s="2">
        <v>0.97995711755383608</v>
      </c>
      <c r="C68" s="7">
        <v>0.84720797986389484</v>
      </c>
      <c r="D68" s="6">
        <v>0.66486436095832946</v>
      </c>
      <c r="E68" s="7">
        <v>0.61638855225132838</v>
      </c>
      <c r="F68" s="2">
        <v>0.77710450265684716</v>
      </c>
      <c r="G68" s="2">
        <v>0.19487154469370682</v>
      </c>
      <c r="H68" s="4" t="s">
        <v>140</v>
      </c>
      <c r="I68" s="1" t="s">
        <v>139</v>
      </c>
      <c r="J68" s="4" t="s">
        <v>140</v>
      </c>
      <c r="K68" s="5">
        <f t="shared" ref="K68:O68" si="64">B68*100</f>
        <v>97.99571175538361</v>
      </c>
      <c r="L68" s="5">
        <f t="shared" si="64"/>
        <v>84.720797986389485</v>
      </c>
      <c r="M68" s="5">
        <f t="shared" si="64"/>
        <v>66.486436095832943</v>
      </c>
      <c r="N68" s="5">
        <f t="shared" si="64"/>
        <v>61.638855225132836</v>
      </c>
      <c r="O68" s="5">
        <f t="shared" si="64"/>
        <v>77.710450265684713</v>
      </c>
      <c r="P68" s="2">
        <v>0.19487154469370682</v>
      </c>
      <c r="Q68" s="4" t="s">
        <v>140</v>
      </c>
      <c r="R68" s="1" t="s">
        <v>139</v>
      </c>
      <c r="S68" s="5">
        <v>7</v>
      </c>
    </row>
    <row r="69" spans="1:19" x14ac:dyDescent="0.2">
      <c r="A69" s="1" t="s">
        <v>141</v>
      </c>
      <c r="C69" s="2">
        <v>0.73405109597596885</v>
      </c>
      <c r="D69" s="2">
        <v>1.0143354251553995</v>
      </c>
      <c r="E69" s="2">
        <v>0.62329357880022607</v>
      </c>
      <c r="F69" s="2">
        <v>0.79056003331053148</v>
      </c>
      <c r="G69" s="2">
        <v>0.1059152388993795</v>
      </c>
      <c r="H69" s="4" t="s">
        <v>142</v>
      </c>
      <c r="I69" s="1" t="s">
        <v>141</v>
      </c>
      <c r="J69" s="4" t="s">
        <v>142</v>
      </c>
      <c r="L69" s="5">
        <f t="shared" ref="L69:O69" si="65">C69*100</f>
        <v>73.405109597596891</v>
      </c>
      <c r="M69" s="5">
        <f t="shared" si="65"/>
        <v>101.43354251553995</v>
      </c>
      <c r="N69" s="5">
        <f t="shared" si="65"/>
        <v>62.329357880022606</v>
      </c>
      <c r="O69" s="5">
        <f t="shared" si="65"/>
        <v>79.056003331053148</v>
      </c>
      <c r="P69" s="2">
        <v>0.1059152388993795</v>
      </c>
      <c r="Q69" s="4" t="s">
        <v>142</v>
      </c>
      <c r="R69" s="1" t="s">
        <v>141</v>
      </c>
      <c r="S69" s="5">
        <v>7</v>
      </c>
    </row>
    <row r="70" spans="1:19" x14ac:dyDescent="0.2">
      <c r="A70" s="1" t="s">
        <v>143</v>
      </c>
      <c r="B70" s="2">
        <v>0.82371585718280971</v>
      </c>
      <c r="C70" s="2">
        <v>0.81663093129486342</v>
      </c>
      <c r="D70" s="2">
        <v>0.84832665237251792</v>
      </c>
      <c r="E70" s="2">
        <v>0.70513657126876106</v>
      </c>
      <c r="F70" s="2">
        <v>0.79845250302973803</v>
      </c>
      <c r="G70" s="2">
        <v>0.20951238866144822</v>
      </c>
      <c r="H70" s="4" t="s">
        <v>144</v>
      </c>
      <c r="I70" s="1" t="s">
        <v>143</v>
      </c>
      <c r="J70" s="4" t="s">
        <v>144</v>
      </c>
      <c r="K70" s="5">
        <f t="shared" ref="K70:O70" si="66">B70*100</f>
        <v>82.371585718280969</v>
      </c>
      <c r="L70" s="5">
        <f t="shared" si="66"/>
        <v>81.663093129486342</v>
      </c>
      <c r="M70" s="5">
        <f t="shared" si="66"/>
        <v>84.832665237251788</v>
      </c>
      <c r="N70" s="5">
        <f t="shared" si="66"/>
        <v>70.513657126876112</v>
      </c>
      <c r="O70" s="5">
        <f t="shared" si="66"/>
        <v>79.845250302973795</v>
      </c>
      <c r="P70" s="2">
        <v>0.20951238866144822</v>
      </c>
      <c r="Q70" s="4" t="s">
        <v>144</v>
      </c>
      <c r="R70" s="1" t="s">
        <v>143</v>
      </c>
      <c r="S70" s="5">
        <v>7</v>
      </c>
    </row>
    <row r="71" spans="1:19" x14ac:dyDescent="0.2">
      <c r="A71" s="1" t="s">
        <v>145</v>
      </c>
      <c r="C71" s="2">
        <v>0.89813520506795941</v>
      </c>
      <c r="D71" s="2">
        <v>0.92406983314992708</v>
      </c>
      <c r="E71" s="2">
        <v>0.59932189275198522</v>
      </c>
      <c r="F71" s="2">
        <v>0.80717564365662398</v>
      </c>
      <c r="G71" s="2">
        <v>0.10152629467837959</v>
      </c>
      <c r="H71" s="4" t="s">
        <v>146</v>
      </c>
      <c r="I71" s="1" t="s">
        <v>145</v>
      </c>
      <c r="J71" s="4" t="s">
        <v>146</v>
      </c>
      <c r="L71" s="5">
        <f t="shared" ref="L71:O71" si="67">C71*100</f>
        <v>89.813520506795939</v>
      </c>
      <c r="M71" s="5">
        <f t="shared" si="67"/>
        <v>92.406983314992715</v>
      </c>
      <c r="N71" s="5">
        <f t="shared" si="67"/>
        <v>59.932189275198525</v>
      </c>
      <c r="O71" s="5">
        <f t="shared" si="67"/>
        <v>80.717564365662398</v>
      </c>
      <c r="P71" s="2">
        <v>0.10152629467837959</v>
      </c>
      <c r="Q71" s="4" t="s">
        <v>146</v>
      </c>
      <c r="R71" s="1" t="s">
        <v>145</v>
      </c>
      <c r="S71" s="5">
        <v>7</v>
      </c>
    </row>
    <row r="72" spans="1:19" x14ac:dyDescent="0.2">
      <c r="A72" s="1" t="s">
        <v>147</v>
      </c>
      <c r="C72" s="2">
        <v>0.86146387889242482</v>
      </c>
      <c r="D72" s="2">
        <v>0.94146863753977927</v>
      </c>
      <c r="E72" s="2">
        <v>0.62823067543050892</v>
      </c>
      <c r="F72" s="2">
        <v>0.81038773062090441</v>
      </c>
      <c r="G72" s="2">
        <v>8.8896879269575679E-2</v>
      </c>
      <c r="H72" s="4" t="s">
        <v>148</v>
      </c>
      <c r="I72" s="1" t="s">
        <v>147</v>
      </c>
      <c r="J72" s="4" t="s">
        <v>148</v>
      </c>
      <c r="L72" s="5">
        <f t="shared" ref="L72:O72" si="68">C72*100</f>
        <v>86.146387889242476</v>
      </c>
      <c r="M72" s="5">
        <f t="shared" si="68"/>
        <v>94.146863753977925</v>
      </c>
      <c r="N72" s="5">
        <f t="shared" si="68"/>
        <v>62.82306754305089</v>
      </c>
      <c r="O72" s="5">
        <f t="shared" si="68"/>
        <v>81.038773062090442</v>
      </c>
      <c r="P72" s="2">
        <v>8.8896879269575679E-2</v>
      </c>
      <c r="Q72" s="4" t="s">
        <v>148</v>
      </c>
      <c r="R72" s="1" t="s">
        <v>147</v>
      </c>
      <c r="S72" s="5">
        <v>7</v>
      </c>
    </row>
    <row r="73" spans="1:19" x14ac:dyDescent="0.2">
      <c r="A73" s="1" t="s">
        <v>149</v>
      </c>
      <c r="C73" s="2">
        <v>0.88594117122208016</v>
      </c>
      <c r="D73" s="2">
        <v>1.0292359396841448</v>
      </c>
      <c r="E73" s="2">
        <v>0.59854861255688074</v>
      </c>
      <c r="F73" s="2">
        <v>0.83790857448770184</v>
      </c>
      <c r="G73" s="2">
        <v>0.16423234588870692</v>
      </c>
      <c r="H73" s="4" t="s">
        <v>150</v>
      </c>
      <c r="I73" s="1" t="s">
        <v>149</v>
      </c>
      <c r="J73" s="4" t="s">
        <v>150</v>
      </c>
      <c r="L73" s="5">
        <f t="shared" ref="L73:O73" si="69">C73*100</f>
        <v>88.594117122208019</v>
      </c>
      <c r="M73" s="5">
        <f t="shared" si="69"/>
        <v>102.92359396841448</v>
      </c>
      <c r="N73" s="5">
        <f t="shared" si="69"/>
        <v>59.854861255688071</v>
      </c>
      <c r="O73" s="5">
        <f t="shared" si="69"/>
        <v>83.790857448770183</v>
      </c>
      <c r="P73" s="2">
        <v>0.16423234588870692</v>
      </c>
      <c r="Q73" s="4" t="s">
        <v>150</v>
      </c>
      <c r="R73" s="1" t="s">
        <v>149</v>
      </c>
      <c r="S73" s="5">
        <v>7</v>
      </c>
    </row>
    <row r="74" spans="1:19" x14ac:dyDescent="0.2">
      <c r="A74" s="1" t="s">
        <v>151</v>
      </c>
      <c r="C74" s="2">
        <v>1.0685245219046486</v>
      </c>
      <c r="D74" s="2">
        <v>0.89560717366088693</v>
      </c>
      <c r="E74" s="2">
        <v>0.58864467775034945</v>
      </c>
      <c r="F74" s="2">
        <v>0.85092545777196171</v>
      </c>
      <c r="G74" s="2">
        <v>0.19972935088985089</v>
      </c>
      <c r="H74" s="4" t="s">
        <v>152</v>
      </c>
      <c r="I74" s="1" t="s">
        <v>151</v>
      </c>
      <c r="J74" s="4" t="s">
        <v>152</v>
      </c>
      <c r="L74" s="5">
        <f t="shared" ref="L74:O74" si="70">C74*100</f>
        <v>106.85245219046486</v>
      </c>
      <c r="M74" s="5">
        <f t="shared" si="70"/>
        <v>89.560717366088696</v>
      </c>
      <c r="N74" s="5">
        <f t="shared" si="70"/>
        <v>58.864467775034946</v>
      </c>
      <c r="O74" s="5">
        <f t="shared" si="70"/>
        <v>85.092545777196165</v>
      </c>
      <c r="P74" s="2">
        <v>0.19972935088985089</v>
      </c>
      <c r="Q74" s="4" t="s">
        <v>152</v>
      </c>
      <c r="R74" s="1" t="s">
        <v>151</v>
      </c>
      <c r="S74" s="5">
        <v>7</v>
      </c>
    </row>
    <row r="75" spans="1:19" x14ac:dyDescent="0.2">
      <c r="A75" s="1" t="s">
        <v>153</v>
      </c>
      <c r="C75" s="2">
        <v>1.408619100020819</v>
      </c>
      <c r="D75" s="2">
        <v>0.4991821074859471</v>
      </c>
      <c r="E75" s="2">
        <v>0.66070844362489967</v>
      </c>
      <c r="F75" s="2">
        <v>0.85616988371055525</v>
      </c>
      <c r="G75" s="2">
        <v>0.32947513533712791</v>
      </c>
      <c r="H75" s="4" t="s">
        <v>154</v>
      </c>
      <c r="I75" s="1" t="s">
        <v>153</v>
      </c>
      <c r="J75" s="4" t="s">
        <v>154</v>
      </c>
      <c r="L75" s="5">
        <f t="shared" ref="L75:O75" si="71">C75*100</f>
        <v>140.86191000208191</v>
      </c>
      <c r="M75" s="5">
        <f t="shared" si="71"/>
        <v>49.91821074859471</v>
      </c>
      <c r="N75" s="5">
        <f t="shared" si="71"/>
        <v>66.070844362489964</v>
      </c>
      <c r="O75" s="5">
        <f t="shared" si="71"/>
        <v>85.616988371055527</v>
      </c>
      <c r="P75" s="2">
        <v>0.32947513533712791</v>
      </c>
      <c r="Q75" s="4" t="s">
        <v>154</v>
      </c>
      <c r="R75" s="1" t="s">
        <v>153</v>
      </c>
      <c r="S75" s="5">
        <v>7</v>
      </c>
    </row>
    <row r="76" spans="1:19" x14ac:dyDescent="0.2">
      <c r="A76" s="1" t="s">
        <v>155</v>
      </c>
      <c r="C76" s="2">
        <v>0.75894476994914195</v>
      </c>
      <c r="D76" s="2">
        <v>1.1622401332421259</v>
      </c>
      <c r="E76" s="2">
        <v>0.70627249204413645</v>
      </c>
      <c r="F76" s="2">
        <v>0.87581913174513482</v>
      </c>
      <c r="G76" s="2">
        <v>0.23994200164584423</v>
      </c>
      <c r="H76" s="4" t="s">
        <v>156</v>
      </c>
      <c r="I76" s="1" t="s">
        <v>155</v>
      </c>
      <c r="J76" s="4" t="s">
        <v>156</v>
      </c>
      <c r="L76" s="5">
        <f t="shared" ref="L76:O76" si="72">C76*100</f>
        <v>75.8944769949142</v>
      </c>
      <c r="M76" s="5">
        <f t="shared" si="72"/>
        <v>116.22401332421259</v>
      </c>
      <c r="N76" s="5">
        <f t="shared" si="72"/>
        <v>70.627249204413644</v>
      </c>
      <c r="O76" s="5">
        <f t="shared" si="72"/>
        <v>87.581913174513488</v>
      </c>
      <c r="P76" s="2">
        <v>0.23994200164584423</v>
      </c>
      <c r="Q76" s="4" t="s">
        <v>156</v>
      </c>
      <c r="R76" s="1" t="s">
        <v>155</v>
      </c>
      <c r="S76" s="5">
        <v>7</v>
      </c>
    </row>
    <row r="77" spans="1:19" x14ac:dyDescent="0.2">
      <c r="A77" s="1" t="s">
        <v>157</v>
      </c>
      <c r="C77" s="2">
        <v>1.2197900246854831</v>
      </c>
      <c r="D77" s="2">
        <v>0.78386818546828063</v>
      </c>
      <c r="E77" s="2">
        <v>0.68842756446480091</v>
      </c>
      <c r="F77" s="2">
        <v>0.89736192487285493</v>
      </c>
      <c r="G77" s="2">
        <v>0.29749090551560425</v>
      </c>
      <c r="H77" s="4" t="s">
        <v>158</v>
      </c>
      <c r="I77" s="1" t="s">
        <v>157</v>
      </c>
      <c r="J77" s="4" t="s">
        <v>158</v>
      </c>
      <c r="L77" s="5">
        <f t="shared" ref="L77:O77" si="73">C77*100</f>
        <v>121.97900246854832</v>
      </c>
      <c r="M77" s="5">
        <f t="shared" si="73"/>
        <v>78.386818546828067</v>
      </c>
      <c r="N77" s="5">
        <f t="shared" si="73"/>
        <v>68.842756446480095</v>
      </c>
      <c r="O77" s="5">
        <f t="shared" si="73"/>
        <v>89.736192487285493</v>
      </c>
      <c r="P77" s="2">
        <v>0.29749090551560425</v>
      </c>
      <c r="Q77" s="4" t="s">
        <v>158</v>
      </c>
      <c r="R77" s="1" t="s">
        <v>157</v>
      </c>
      <c r="S77" s="5">
        <v>7</v>
      </c>
    </row>
    <row r="78" spans="1:19" x14ac:dyDescent="0.2">
      <c r="A78" s="1" t="s">
        <v>159</v>
      </c>
      <c r="B78" s="2">
        <v>1.2629812622354806</v>
      </c>
      <c r="C78" s="2">
        <v>0.82520742052764051</v>
      </c>
      <c r="D78" s="2">
        <v>1.0489419222522607</v>
      </c>
      <c r="E78" s="2">
        <v>0.71557751468257669</v>
      </c>
      <c r="F78" s="2">
        <v>0.96317702992448961</v>
      </c>
      <c r="G78" s="2">
        <v>0.44376128974867746</v>
      </c>
      <c r="H78" s="4" t="s">
        <v>160</v>
      </c>
      <c r="I78" s="1" t="s">
        <v>159</v>
      </c>
      <c r="J78" s="4" t="s">
        <v>160</v>
      </c>
      <c r="K78" s="5">
        <f t="shared" ref="K78:O78" si="74">B78*100</f>
        <v>126.29812622354805</v>
      </c>
      <c r="L78" s="5">
        <f t="shared" si="74"/>
        <v>82.520742052764049</v>
      </c>
      <c r="M78" s="5">
        <f t="shared" si="74"/>
        <v>104.89419222522606</v>
      </c>
      <c r="N78" s="5">
        <f t="shared" si="74"/>
        <v>71.557751468257663</v>
      </c>
      <c r="O78" s="5">
        <f t="shared" si="74"/>
        <v>96.317702992448957</v>
      </c>
      <c r="P78" s="2">
        <v>0.44376128974867746</v>
      </c>
      <c r="Q78" s="4" t="s">
        <v>160</v>
      </c>
      <c r="R78" s="1" t="s">
        <v>159</v>
      </c>
      <c r="S78" s="5">
        <v>7</v>
      </c>
    </row>
    <row r="79" spans="1:19" x14ac:dyDescent="0.2">
      <c r="A79" s="1" t="s">
        <v>161</v>
      </c>
      <c r="C79" s="2">
        <v>0.96353686464622434</v>
      </c>
      <c r="D79" s="2">
        <v>0.88418642001011216</v>
      </c>
      <c r="E79" s="2">
        <v>1.2180055319275496</v>
      </c>
      <c r="F79" s="2">
        <v>1.0219096055279622</v>
      </c>
      <c r="G79" s="2">
        <v>0.42448163118735643</v>
      </c>
      <c r="H79" s="4" t="s">
        <v>162</v>
      </c>
      <c r="I79" s="1" t="s">
        <v>161</v>
      </c>
      <c r="J79" s="4" t="s">
        <v>162</v>
      </c>
      <c r="L79" s="5">
        <f t="shared" ref="L79:O79" si="75">C79*100</f>
        <v>96.353686464622427</v>
      </c>
      <c r="M79" s="5">
        <f t="shared" si="75"/>
        <v>88.418642001011222</v>
      </c>
      <c r="N79" s="5">
        <f t="shared" si="75"/>
        <v>121.80055319275496</v>
      </c>
      <c r="O79" s="5">
        <f t="shared" si="75"/>
        <v>102.19096055279621</v>
      </c>
      <c r="P79" s="2">
        <v>0.42448163118735643</v>
      </c>
      <c r="Q79" s="4" t="s">
        <v>162</v>
      </c>
      <c r="R79" s="1" t="s">
        <v>161</v>
      </c>
      <c r="S79" s="5">
        <v>7</v>
      </c>
    </row>
    <row r="80" spans="1:19" x14ac:dyDescent="0.2">
      <c r="A80" s="1" t="s">
        <v>163</v>
      </c>
      <c r="C80" s="2">
        <v>1.0594218967562272</v>
      </c>
      <c r="D80" s="2">
        <v>1.2781831777628798</v>
      </c>
      <c r="E80" s="2">
        <v>0.72845650043834775</v>
      </c>
      <c r="F80" s="2">
        <v>1.0220205249858183</v>
      </c>
      <c r="G80" s="2">
        <v>0.4650978334710904</v>
      </c>
      <c r="H80" s="4" t="s">
        <v>164</v>
      </c>
      <c r="I80" s="1" t="s">
        <v>163</v>
      </c>
      <c r="J80" s="4" t="s">
        <v>164</v>
      </c>
      <c r="L80" s="5">
        <f t="shared" ref="L80:O80" si="76">C80*100</f>
        <v>105.94218967562273</v>
      </c>
      <c r="M80" s="5">
        <f t="shared" si="76"/>
        <v>127.81831777628798</v>
      </c>
      <c r="N80" s="5">
        <f t="shared" si="76"/>
        <v>72.84565004383478</v>
      </c>
      <c r="O80" s="5">
        <f t="shared" si="76"/>
        <v>102.20205249858184</v>
      </c>
      <c r="P80" s="2">
        <v>0.4650978334710904</v>
      </c>
      <c r="Q80" s="4" t="s">
        <v>164</v>
      </c>
      <c r="R80" s="1" t="s">
        <v>163</v>
      </c>
      <c r="S80" s="5">
        <v>4</v>
      </c>
    </row>
    <row r="81" spans="1:19" x14ac:dyDescent="0.2">
      <c r="A81" s="1" t="s">
        <v>165</v>
      </c>
      <c r="B81" s="2">
        <v>1.0489419222522607</v>
      </c>
      <c r="C81" s="2">
        <v>1.1067400018644542</v>
      </c>
      <c r="D81" s="2">
        <v>1.0593828656660762</v>
      </c>
      <c r="E81" s="2">
        <v>1.0664677915540226</v>
      </c>
      <c r="F81" s="2">
        <v>1.0703831453342034</v>
      </c>
      <c r="G81" s="2">
        <v>0.38243671239810489</v>
      </c>
      <c r="H81" s="4" t="s">
        <v>166</v>
      </c>
      <c r="I81" s="1" t="s">
        <v>165</v>
      </c>
      <c r="J81" s="4" t="s">
        <v>166</v>
      </c>
      <c r="K81" s="5">
        <f t="shared" ref="K81:O81" si="77">B81*100</f>
        <v>104.89419222522606</v>
      </c>
      <c r="L81" s="5">
        <f t="shared" si="77"/>
        <v>110.67400018644543</v>
      </c>
      <c r="M81" s="5">
        <f t="shared" si="77"/>
        <v>105.93828656660762</v>
      </c>
      <c r="N81" s="5">
        <f t="shared" si="77"/>
        <v>106.64677915540226</v>
      </c>
      <c r="O81" s="5">
        <f t="shared" si="77"/>
        <v>107.03831453342035</v>
      </c>
      <c r="P81" s="2">
        <v>0.38243671239810489</v>
      </c>
      <c r="Q81" s="4" t="s">
        <v>166</v>
      </c>
      <c r="R81" s="1" t="s">
        <v>165</v>
      </c>
      <c r="S81" s="5">
        <v>7</v>
      </c>
    </row>
    <row r="82" spans="1:19" x14ac:dyDescent="0.2">
      <c r="A82" s="1" t="s">
        <v>167</v>
      </c>
      <c r="C82" s="2">
        <v>0.88864765190494599</v>
      </c>
      <c r="D82" s="2">
        <v>1.4255420396752223</v>
      </c>
      <c r="E82" s="2">
        <v>0.89733218332688935</v>
      </c>
      <c r="F82" s="2">
        <v>1.0705072916356859</v>
      </c>
      <c r="G82" s="2">
        <v>0.36506481238900762</v>
      </c>
      <c r="H82" s="4" t="s">
        <v>168</v>
      </c>
      <c r="I82" s="1" t="s">
        <v>167</v>
      </c>
      <c r="J82" s="4" t="s">
        <v>168</v>
      </c>
      <c r="L82" s="5">
        <f t="shared" ref="L82:O82" si="78">C82*100</f>
        <v>88.864765190494595</v>
      </c>
      <c r="M82" s="5">
        <f t="shared" si="78"/>
        <v>142.55420396752223</v>
      </c>
      <c r="N82" s="5">
        <f t="shared" si="78"/>
        <v>89.733218332688935</v>
      </c>
      <c r="O82" s="5">
        <f t="shared" si="78"/>
        <v>107.05072916356859</v>
      </c>
      <c r="P82" s="2">
        <v>0.36506481238900762</v>
      </c>
      <c r="Q82" s="4" t="s">
        <v>168</v>
      </c>
      <c r="R82" s="1" t="s">
        <v>167</v>
      </c>
      <c r="S82" s="5">
        <v>7</v>
      </c>
    </row>
    <row r="83" spans="1:19" x14ac:dyDescent="0.2">
      <c r="A83" s="1" t="s">
        <v>169</v>
      </c>
      <c r="C83" s="2">
        <v>1.2647592421854088</v>
      </c>
      <c r="D83" s="2">
        <v>1.0613865508729143</v>
      </c>
      <c r="E83" s="2">
        <v>0.91407667370549917</v>
      </c>
      <c r="F83" s="2">
        <v>1.0800741555879407</v>
      </c>
      <c r="G83" s="2">
        <v>0.25733999629384624</v>
      </c>
      <c r="H83" s="4" t="s">
        <v>170</v>
      </c>
      <c r="I83" s="1" t="s">
        <v>169</v>
      </c>
      <c r="J83" s="4" t="s">
        <v>170</v>
      </c>
      <c r="L83" s="5">
        <f t="shared" ref="L83:O83" si="79">C83*100</f>
        <v>126.47592421854088</v>
      </c>
      <c r="M83" s="5">
        <f t="shared" si="79"/>
        <v>106.13865508729144</v>
      </c>
      <c r="N83" s="5">
        <f t="shared" si="79"/>
        <v>91.407667370549916</v>
      </c>
      <c r="O83" s="5">
        <f t="shared" si="79"/>
        <v>108.00741555879408</v>
      </c>
      <c r="P83" s="2">
        <v>0.25733999629384624</v>
      </c>
      <c r="Q83" s="4" t="s">
        <v>170</v>
      </c>
      <c r="R83" s="1" t="s">
        <v>169</v>
      </c>
      <c r="S83" s="5">
        <v>7</v>
      </c>
    </row>
    <row r="84" spans="1:19" x14ac:dyDescent="0.2">
      <c r="A84" s="1" t="s">
        <v>171</v>
      </c>
      <c r="C84" s="2">
        <v>1.5012342741575706</v>
      </c>
      <c r="D84" s="2">
        <v>0.89777830651637269</v>
      </c>
      <c r="E84" s="2">
        <v>0.84385688368081369</v>
      </c>
      <c r="F84" s="2">
        <v>1.0809564881182523</v>
      </c>
      <c r="G84" s="2">
        <v>0.36908891028628321</v>
      </c>
      <c r="H84" s="4" t="s">
        <v>172</v>
      </c>
      <c r="I84" s="1" t="s">
        <v>171</v>
      </c>
      <c r="J84" s="4" t="s">
        <v>172</v>
      </c>
      <c r="L84" s="5">
        <f t="shared" ref="L84:O84" si="80">C84*100</f>
        <v>150.12342741575705</v>
      </c>
      <c r="M84" s="5">
        <f t="shared" si="80"/>
        <v>89.777830651637274</v>
      </c>
      <c r="N84" s="5">
        <f t="shared" si="80"/>
        <v>84.385688368081375</v>
      </c>
      <c r="O84" s="5">
        <f t="shared" si="80"/>
        <v>108.09564881182523</v>
      </c>
      <c r="P84" s="2">
        <v>0.36908891028628321</v>
      </c>
      <c r="Q84" s="4" t="s">
        <v>172</v>
      </c>
      <c r="R84" s="1" t="s">
        <v>171</v>
      </c>
      <c r="S84" s="5">
        <v>7</v>
      </c>
    </row>
    <row r="85" spans="1:19" x14ac:dyDescent="0.2">
      <c r="A85" s="1" t="s">
        <v>173</v>
      </c>
      <c r="C85" s="2">
        <v>1.23876513101151</v>
      </c>
      <c r="D85" s="2">
        <v>1.2200874401451387</v>
      </c>
      <c r="E85" s="2">
        <v>0.84602801653629955</v>
      </c>
      <c r="F85" s="2">
        <v>1.1016268625643162</v>
      </c>
      <c r="G85" s="2">
        <v>0.2554755264059303</v>
      </c>
      <c r="H85" s="4" t="s">
        <v>174</v>
      </c>
      <c r="I85" s="1" t="s">
        <v>173</v>
      </c>
      <c r="J85" s="4" t="s">
        <v>174</v>
      </c>
      <c r="L85" s="5">
        <f t="shared" ref="L85:O85" si="81">C85*100</f>
        <v>123.87651310115101</v>
      </c>
      <c r="M85" s="5">
        <f t="shared" si="81"/>
        <v>122.00874401451387</v>
      </c>
      <c r="N85" s="5">
        <f t="shared" si="81"/>
        <v>84.602801653629953</v>
      </c>
      <c r="O85" s="5">
        <f t="shared" si="81"/>
        <v>110.16268625643161</v>
      </c>
      <c r="P85" s="2">
        <v>0.2554755264059303</v>
      </c>
      <c r="Q85" s="4" t="s">
        <v>174</v>
      </c>
      <c r="R85" s="1" t="s">
        <v>173</v>
      </c>
      <c r="S85" s="5">
        <v>7</v>
      </c>
    </row>
    <row r="86" spans="1:19" x14ac:dyDescent="0.2">
      <c r="A86" s="1" t="s">
        <v>175</v>
      </c>
      <c r="C86" s="2">
        <v>2.4305683609434019</v>
      </c>
      <c r="D86" s="2">
        <v>0.72792433750706365</v>
      </c>
      <c r="E86" s="2">
        <v>0.84822889093775089</v>
      </c>
      <c r="F86" s="2">
        <v>1.3355738631294054</v>
      </c>
      <c r="G86" s="2">
        <v>0.30153161086698643</v>
      </c>
      <c r="H86" s="4" t="s">
        <v>176</v>
      </c>
      <c r="I86" s="1" t="s">
        <v>175</v>
      </c>
      <c r="J86" s="4" t="s">
        <v>176</v>
      </c>
      <c r="L86" s="5">
        <f t="shared" ref="L86:O86" si="82">C86*100</f>
        <v>243.05683609434018</v>
      </c>
      <c r="M86" s="5">
        <f t="shared" si="82"/>
        <v>72.792433750706365</v>
      </c>
      <c r="N86" s="5">
        <f t="shared" si="82"/>
        <v>84.822889093775089</v>
      </c>
      <c r="O86" s="5">
        <f t="shared" si="82"/>
        <v>133.55738631294054</v>
      </c>
      <c r="P86" s="2">
        <v>0.30153161086698643</v>
      </c>
      <c r="Q86" s="4" t="s">
        <v>176</v>
      </c>
      <c r="R86" s="1" t="s">
        <v>175</v>
      </c>
      <c r="S86" s="5">
        <v>7</v>
      </c>
    </row>
    <row r="87" spans="1:19" x14ac:dyDescent="0.2">
      <c r="H87" s="4"/>
      <c r="J87" s="4"/>
      <c r="Q8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86"/>
  <sheetViews>
    <sheetView workbookViewId="0"/>
  </sheetViews>
  <sheetFormatPr defaultColWidth="12.5703125" defaultRowHeight="15.75" customHeight="1" x14ac:dyDescent="0.2"/>
  <sheetData>
    <row r="1" spans="1:6" x14ac:dyDescent="0.2">
      <c r="A1" s="8" t="s">
        <v>181</v>
      </c>
      <c r="B1" s="2"/>
      <c r="C1" s="2">
        <v>70.066188100000005</v>
      </c>
      <c r="D1" s="2">
        <v>161.34986480000001</v>
      </c>
      <c r="E1" s="2">
        <v>70.513657100000003</v>
      </c>
      <c r="F1" s="2">
        <v>98.070289900000006</v>
      </c>
    </row>
    <row r="2" spans="1:6" x14ac:dyDescent="0.2">
      <c r="A2" s="8" t="s">
        <v>182</v>
      </c>
      <c r="B2" s="2">
        <v>6</v>
      </c>
      <c r="C2" s="2">
        <v>7.3832386000000003</v>
      </c>
      <c r="D2" s="2">
        <v>8.5019110999999992</v>
      </c>
      <c r="E2" s="2">
        <v>6.6001678000000004</v>
      </c>
      <c r="F2" s="2">
        <v>5.2204717</v>
      </c>
    </row>
    <row r="3" spans="1:6" x14ac:dyDescent="0.2">
      <c r="A3" s="8">
        <v>6566</v>
      </c>
      <c r="B3" s="2">
        <v>2</v>
      </c>
      <c r="C3" s="2">
        <v>0.84704239999999997</v>
      </c>
      <c r="D3" s="2">
        <v>6.1923057000000004</v>
      </c>
      <c r="E3" s="2">
        <v>3.4732607999999998</v>
      </c>
      <c r="F3" s="2"/>
    </row>
    <row r="4" spans="1:6" x14ac:dyDescent="0.2">
      <c r="A4" s="8">
        <v>3547</v>
      </c>
      <c r="B4" s="2">
        <v>2</v>
      </c>
      <c r="C4" s="2">
        <v>2.1311433000000002</v>
      </c>
      <c r="D4" s="2">
        <v>2.9781857999999999</v>
      </c>
      <c r="E4" s="2">
        <v>5.4071476000000001</v>
      </c>
      <c r="F4" s="2"/>
    </row>
    <row r="5" spans="1:6" x14ac:dyDescent="0.2">
      <c r="A5" s="8">
        <v>5682</v>
      </c>
      <c r="B5" s="2">
        <v>2</v>
      </c>
      <c r="C5" s="2">
        <v>0.85091019999999995</v>
      </c>
      <c r="D5" s="2">
        <v>5.8132638999999999</v>
      </c>
      <c r="E5" s="2">
        <v>4.5407662999999996</v>
      </c>
      <c r="F5" s="2"/>
    </row>
    <row r="6" spans="1:6" x14ac:dyDescent="0.2">
      <c r="A6" s="8">
        <v>8519</v>
      </c>
      <c r="B6" s="2">
        <v>2</v>
      </c>
      <c r="C6" s="2">
        <v>6.6951162999999996</v>
      </c>
      <c r="D6" s="2">
        <v>5.2408333999999996</v>
      </c>
      <c r="E6" s="2">
        <v>2.6068794999999998</v>
      </c>
      <c r="F6" s="2"/>
    </row>
    <row r="7" spans="1:6" x14ac:dyDescent="0.2">
      <c r="A7" s="8">
        <v>889</v>
      </c>
      <c r="B7" s="2">
        <v>2</v>
      </c>
      <c r="C7" s="2">
        <v>4.2236089000000003</v>
      </c>
      <c r="D7" s="2">
        <v>6.2541900999999998</v>
      </c>
      <c r="E7" s="2">
        <v>6.5984219</v>
      </c>
      <c r="F7" s="2"/>
    </row>
    <row r="8" spans="1:6" x14ac:dyDescent="0.2">
      <c r="A8" s="8">
        <v>5299</v>
      </c>
      <c r="B8" s="2">
        <v>2</v>
      </c>
      <c r="C8" s="2">
        <v>2.3864163999999999</v>
      </c>
      <c r="D8" s="2">
        <v>7.9830848999999997</v>
      </c>
      <c r="E8" s="2">
        <v>8.3543912000000002</v>
      </c>
      <c r="F8" s="2"/>
    </row>
    <row r="9" spans="1:6" x14ac:dyDescent="0.2">
      <c r="A9" s="8">
        <v>5262</v>
      </c>
      <c r="B9" s="2">
        <v>1</v>
      </c>
      <c r="C9" s="2">
        <v>4.2173512000000004</v>
      </c>
      <c r="D9" s="2">
        <v>16.128840400000001</v>
      </c>
      <c r="E9" s="2">
        <v>20.1350266</v>
      </c>
      <c r="F9" s="2"/>
    </row>
    <row r="10" spans="1:6" x14ac:dyDescent="0.2">
      <c r="A10" s="8">
        <v>2521</v>
      </c>
      <c r="B10" s="2">
        <v>2</v>
      </c>
      <c r="C10" s="2">
        <v>5.0513124999999999</v>
      </c>
      <c r="D10" s="2">
        <v>26.370481099999999</v>
      </c>
      <c r="E10" s="2">
        <v>10.3308236</v>
      </c>
      <c r="F10" s="2"/>
    </row>
    <row r="11" spans="1:6" x14ac:dyDescent="0.2">
      <c r="A11" s="8">
        <v>6323</v>
      </c>
      <c r="B11" s="2">
        <v>2</v>
      </c>
      <c r="C11" s="2">
        <v>8.5207055</v>
      </c>
      <c r="D11" s="2">
        <v>32.644010100000003</v>
      </c>
      <c r="E11" s="2">
        <v>2.3554742000000002</v>
      </c>
      <c r="F11" s="2"/>
    </row>
    <row r="12" spans="1:6" x14ac:dyDescent="0.2">
      <c r="A12" s="8" t="s">
        <v>27</v>
      </c>
      <c r="B12" s="2">
        <v>5</v>
      </c>
      <c r="C12" s="2">
        <v>17.658085499999999</v>
      </c>
      <c r="D12" s="2">
        <v>13.346663299999999</v>
      </c>
      <c r="E12" s="2">
        <v>12.9905024</v>
      </c>
      <c r="F12" s="2"/>
    </row>
    <row r="13" spans="1:6" x14ac:dyDescent="0.2">
      <c r="A13" s="8" t="s">
        <v>28</v>
      </c>
      <c r="B13" s="2">
        <v>5</v>
      </c>
      <c r="C13" s="2">
        <v>14.2276931</v>
      </c>
      <c r="D13" s="2">
        <v>20.357410699999999</v>
      </c>
      <c r="E13" s="2">
        <v>12.746813299999999</v>
      </c>
      <c r="F13" s="2"/>
    </row>
    <row r="14" spans="1:6" x14ac:dyDescent="0.2">
      <c r="A14" s="8">
        <v>4909</v>
      </c>
      <c r="B14" s="2">
        <v>2</v>
      </c>
      <c r="C14" s="2">
        <v>26.157753599999999</v>
      </c>
      <c r="D14" s="2">
        <v>24.374709899999999</v>
      </c>
      <c r="E14" s="2">
        <v>1.3769274</v>
      </c>
      <c r="F14" s="2"/>
    </row>
    <row r="15" spans="1:6" x14ac:dyDescent="0.2">
      <c r="A15" s="8">
        <v>7391</v>
      </c>
      <c r="B15" s="2">
        <v>2</v>
      </c>
      <c r="C15" s="2">
        <v>27.871177299999999</v>
      </c>
      <c r="D15" s="2">
        <v>23.117683499999998</v>
      </c>
      <c r="E15" s="2">
        <v>0.99015010000000003</v>
      </c>
      <c r="F15" s="2"/>
    </row>
    <row r="16" spans="1:6" x14ac:dyDescent="0.2">
      <c r="A16" s="8">
        <v>920</v>
      </c>
      <c r="B16" s="2">
        <v>1</v>
      </c>
      <c r="C16" s="2">
        <v>22.522606499999998</v>
      </c>
      <c r="D16" s="2">
        <v>20.210683299999999</v>
      </c>
      <c r="E16" s="2">
        <v>3.2441502999999998</v>
      </c>
      <c r="F16" s="2">
        <v>24.312482500000002</v>
      </c>
    </row>
    <row r="17" spans="1:6" x14ac:dyDescent="0.2">
      <c r="A17" s="8">
        <v>2185</v>
      </c>
      <c r="B17" s="2">
        <v>2</v>
      </c>
      <c r="C17" s="2">
        <v>18.2868341</v>
      </c>
      <c r="D17" s="2">
        <v>20.545613899999999</v>
      </c>
      <c r="E17" s="2">
        <v>13.947191999999999</v>
      </c>
      <c r="F17" s="2"/>
    </row>
    <row r="18" spans="1:6" x14ac:dyDescent="0.2">
      <c r="A18" s="8" t="s">
        <v>37</v>
      </c>
      <c r="B18" s="2">
        <v>6</v>
      </c>
      <c r="C18" s="2">
        <v>21.182204500000001</v>
      </c>
      <c r="D18" s="2">
        <v>20.019995000000002</v>
      </c>
      <c r="E18" s="2">
        <v>16.758310399999999</v>
      </c>
      <c r="F18" s="2"/>
    </row>
    <row r="19" spans="1:6" x14ac:dyDescent="0.2">
      <c r="A19" s="8">
        <v>8873</v>
      </c>
      <c r="B19" s="2">
        <v>1</v>
      </c>
      <c r="C19" s="2">
        <v>23.007364599999999</v>
      </c>
      <c r="D19" s="2">
        <v>24.797240599999999</v>
      </c>
      <c r="E19" s="2">
        <v>4.5492682000000002</v>
      </c>
      <c r="F19" s="2">
        <v>26.027780400000001</v>
      </c>
    </row>
    <row r="20" spans="1:6" x14ac:dyDescent="0.2">
      <c r="A20" s="8">
        <v>4733</v>
      </c>
      <c r="B20" s="2">
        <v>1</v>
      </c>
      <c r="C20" s="2">
        <v>14.3190081</v>
      </c>
      <c r="D20" s="2">
        <v>24.275193399999999</v>
      </c>
      <c r="E20" s="2">
        <v>36.767036500000003</v>
      </c>
      <c r="F20" s="2">
        <v>4.1763773999999998</v>
      </c>
    </row>
    <row r="21" spans="1:6" x14ac:dyDescent="0.2">
      <c r="A21" s="8">
        <v>4027</v>
      </c>
      <c r="B21" s="2">
        <v>2</v>
      </c>
      <c r="C21" s="2">
        <v>31.638388899999999</v>
      </c>
      <c r="D21" s="2">
        <v>18.194007500000001</v>
      </c>
      <c r="E21" s="2">
        <v>15.4324171</v>
      </c>
      <c r="F21" s="2"/>
    </row>
    <row r="22" spans="1:6" x14ac:dyDescent="0.2">
      <c r="A22" s="8">
        <v>2926</v>
      </c>
      <c r="B22" s="2">
        <v>2</v>
      </c>
      <c r="C22" s="2">
        <v>29.012170600000001</v>
      </c>
      <c r="D22" s="2">
        <v>24.053684700000002</v>
      </c>
      <c r="E22" s="2">
        <v>18.155329800000001</v>
      </c>
      <c r="F22" s="2"/>
    </row>
    <row r="23" spans="1:6" x14ac:dyDescent="0.2">
      <c r="A23" s="8">
        <v>1637</v>
      </c>
      <c r="B23" s="2">
        <v>2</v>
      </c>
      <c r="C23" s="2">
        <v>15.768913400000001</v>
      </c>
      <c r="D23" s="2">
        <v>27.221391400000002</v>
      </c>
      <c r="E23" s="2">
        <v>28.397194599999999</v>
      </c>
      <c r="F23" s="2"/>
    </row>
    <row r="24" spans="1:6" x14ac:dyDescent="0.2">
      <c r="A24" s="8">
        <v>375</v>
      </c>
      <c r="B24" s="2">
        <v>2</v>
      </c>
      <c r="C24" s="2">
        <v>12.4929091</v>
      </c>
      <c r="D24" s="2">
        <v>37.780413600000003</v>
      </c>
      <c r="E24" s="2">
        <v>21.736888199999999</v>
      </c>
      <c r="F24" s="2"/>
    </row>
    <row r="25" spans="1:6" x14ac:dyDescent="0.2">
      <c r="A25" s="8">
        <v>1663</v>
      </c>
      <c r="B25" s="2">
        <v>2</v>
      </c>
      <c r="C25" s="2">
        <v>31.661595599999998</v>
      </c>
      <c r="D25" s="2">
        <v>16.128616399999999</v>
      </c>
      <c r="E25" s="2">
        <v>24.3592388</v>
      </c>
      <c r="F25" s="2"/>
    </row>
    <row r="26" spans="1:6" x14ac:dyDescent="0.2">
      <c r="A26" s="8">
        <v>6891</v>
      </c>
      <c r="B26" s="2">
        <v>2</v>
      </c>
      <c r="C26" s="2">
        <v>41.137641199999997</v>
      </c>
      <c r="D26" s="2">
        <v>32.013562999999998</v>
      </c>
      <c r="E26" s="2">
        <v>1.1448609999999999</v>
      </c>
      <c r="F26" s="2"/>
    </row>
    <row r="27" spans="1:6" x14ac:dyDescent="0.2">
      <c r="A27" s="8">
        <v>3626</v>
      </c>
      <c r="B27" s="2">
        <v>2</v>
      </c>
      <c r="C27" s="2">
        <v>32.141199499999999</v>
      </c>
      <c r="D27" s="2">
        <v>26.6450931</v>
      </c>
      <c r="E27" s="2">
        <v>16.132484099999999</v>
      </c>
      <c r="F27" s="2"/>
    </row>
    <row r="28" spans="1:6" x14ac:dyDescent="0.2">
      <c r="A28" s="8">
        <v>2410</v>
      </c>
      <c r="B28" s="2">
        <v>2</v>
      </c>
      <c r="C28" s="2">
        <v>34.620442500000003</v>
      </c>
      <c r="D28" s="2">
        <v>31.019545099999998</v>
      </c>
      <c r="E28" s="2">
        <v>10.2457326</v>
      </c>
      <c r="F28" s="2"/>
    </row>
    <row r="29" spans="1:6" x14ac:dyDescent="0.2">
      <c r="A29" s="8">
        <v>3954</v>
      </c>
      <c r="B29" s="2">
        <v>2</v>
      </c>
      <c r="C29" s="2">
        <v>7.9173327999999996</v>
      </c>
      <c r="D29" s="2">
        <v>33.591614700000001</v>
      </c>
      <c r="E29" s="2">
        <v>42.479758599999997</v>
      </c>
      <c r="F29" s="2"/>
    </row>
    <row r="30" spans="1:6" x14ac:dyDescent="0.2">
      <c r="A30" s="8">
        <v>9790</v>
      </c>
      <c r="B30" s="2">
        <v>1</v>
      </c>
      <c r="C30" s="2">
        <v>46.201174600000002</v>
      </c>
      <c r="D30" s="2">
        <v>57.387899699999998</v>
      </c>
      <c r="E30" s="2">
        <v>8.0917311000000005</v>
      </c>
      <c r="F30" s="2">
        <v>1.9390323</v>
      </c>
    </row>
    <row r="31" spans="1:6" x14ac:dyDescent="0.2">
      <c r="A31" s="8">
        <v>1949</v>
      </c>
      <c r="B31" s="2">
        <v>2</v>
      </c>
      <c r="C31" s="2">
        <v>41.949873599999997</v>
      </c>
      <c r="D31" s="2">
        <v>33.792738900000003</v>
      </c>
      <c r="E31" s="2">
        <v>17.675725799999999</v>
      </c>
      <c r="F31" s="2"/>
    </row>
    <row r="32" spans="1:6" x14ac:dyDescent="0.2">
      <c r="A32" s="8">
        <v>1929</v>
      </c>
      <c r="B32" s="2">
        <v>2</v>
      </c>
      <c r="C32" s="2">
        <v>40.012118999999998</v>
      </c>
      <c r="D32" s="2">
        <v>33.297663900000003</v>
      </c>
      <c r="E32" s="2">
        <v>26.064927000000001</v>
      </c>
      <c r="F32" s="2"/>
    </row>
    <row r="33" spans="1:6" x14ac:dyDescent="0.2">
      <c r="A33" s="8">
        <v>4891</v>
      </c>
      <c r="B33" s="2">
        <v>1</v>
      </c>
      <c r="C33" s="2">
        <v>25.468444099999999</v>
      </c>
      <c r="D33" s="2">
        <v>28.861750700000002</v>
      </c>
      <c r="E33" s="2">
        <v>42.882446199999997</v>
      </c>
      <c r="F33" s="2">
        <v>37.289083599999998</v>
      </c>
    </row>
    <row r="34" spans="1:6" x14ac:dyDescent="0.2">
      <c r="A34" s="8">
        <v>8139</v>
      </c>
      <c r="B34" s="2">
        <v>1</v>
      </c>
      <c r="C34" s="2">
        <v>39.041670600000003</v>
      </c>
      <c r="D34" s="2">
        <v>39.004381500000001</v>
      </c>
      <c r="E34" s="2">
        <v>37.214505500000001</v>
      </c>
      <c r="F34" s="2">
        <v>24.797240599999999</v>
      </c>
    </row>
    <row r="35" spans="1:6" x14ac:dyDescent="0.2">
      <c r="A35" s="8">
        <v>2507</v>
      </c>
      <c r="B35" s="2">
        <v>2</v>
      </c>
      <c r="C35" s="2">
        <v>45.775101800000002</v>
      </c>
      <c r="D35" s="2">
        <v>35.9045433</v>
      </c>
      <c r="E35" s="2">
        <v>30.396833600000001</v>
      </c>
      <c r="F35" s="2"/>
    </row>
    <row r="36" spans="1:6" x14ac:dyDescent="0.2">
      <c r="A36" s="8">
        <v>629</v>
      </c>
      <c r="B36" s="2">
        <v>2</v>
      </c>
      <c r="C36" s="2">
        <v>56.620339299999998</v>
      </c>
      <c r="D36" s="2">
        <v>32.616935699999999</v>
      </c>
      <c r="E36" s="2">
        <v>24.312825499999999</v>
      </c>
      <c r="F36" s="2"/>
    </row>
    <row r="37" spans="1:6" x14ac:dyDescent="0.2">
      <c r="A37" s="8">
        <v>4625</v>
      </c>
      <c r="B37" s="2">
        <v>2</v>
      </c>
      <c r="C37" s="2">
        <v>48.343303599999999</v>
      </c>
      <c r="D37" s="2">
        <v>42.854932699999999</v>
      </c>
      <c r="E37" s="2">
        <v>23.032592399999999</v>
      </c>
      <c r="F37" s="2"/>
    </row>
    <row r="38" spans="1:6" x14ac:dyDescent="0.2">
      <c r="A38" s="8">
        <v>5222</v>
      </c>
      <c r="B38" s="2">
        <v>1</v>
      </c>
      <c r="C38" s="2">
        <v>48.651220899999998</v>
      </c>
      <c r="D38" s="2">
        <v>72.515837399999995</v>
      </c>
      <c r="E38" s="2">
        <v>1.9361746</v>
      </c>
      <c r="F38" s="2"/>
    </row>
    <row r="39" spans="1:6" x14ac:dyDescent="0.2">
      <c r="A39" s="8">
        <v>3106</v>
      </c>
      <c r="B39" s="2">
        <v>2</v>
      </c>
      <c r="C39" s="2">
        <v>39.745242599999997</v>
      </c>
      <c r="D39" s="2">
        <v>50.954050799999997</v>
      </c>
      <c r="E39" s="2">
        <v>33.421432600000003</v>
      </c>
      <c r="F39" s="2"/>
    </row>
    <row r="40" spans="1:6" x14ac:dyDescent="0.2">
      <c r="A40" s="8">
        <v>6181</v>
      </c>
      <c r="B40" s="2">
        <v>1</v>
      </c>
      <c r="C40" s="2">
        <v>32.068611900000001</v>
      </c>
      <c r="D40" s="2">
        <v>48.699543200000001</v>
      </c>
      <c r="E40" s="2">
        <v>36.2449893</v>
      </c>
      <c r="F40" s="2">
        <v>50.079239299999998</v>
      </c>
    </row>
    <row r="41" spans="1:6" x14ac:dyDescent="0.2">
      <c r="A41" s="8">
        <v>1098</v>
      </c>
      <c r="B41" s="2">
        <v>1</v>
      </c>
      <c r="C41" s="2">
        <v>65.374892200000005</v>
      </c>
      <c r="D41" s="2">
        <v>58.775243099999997</v>
      </c>
      <c r="E41" s="2">
        <v>3.3102341000000002</v>
      </c>
      <c r="F41" s="2"/>
    </row>
    <row r="42" spans="1:6" x14ac:dyDescent="0.2">
      <c r="A42" s="8">
        <v>875</v>
      </c>
      <c r="B42" s="2">
        <v>1</v>
      </c>
      <c r="C42" s="2">
        <v>37.028060000000004</v>
      </c>
      <c r="D42" s="2">
        <v>36.133122</v>
      </c>
      <c r="E42" s="2">
        <v>51.235200900000002</v>
      </c>
      <c r="F42" s="2">
        <v>47.319847099999997</v>
      </c>
    </row>
    <row r="43" spans="1:6" x14ac:dyDescent="0.2">
      <c r="A43" s="8">
        <v>7833</v>
      </c>
      <c r="B43" s="2">
        <v>1</v>
      </c>
      <c r="C43" s="2">
        <v>45.306236599999998</v>
      </c>
      <c r="D43" s="2">
        <v>44.299431300000002</v>
      </c>
      <c r="E43" s="2">
        <v>47.058823500000003</v>
      </c>
      <c r="F43" s="2">
        <v>41.5027501</v>
      </c>
    </row>
    <row r="44" spans="1:6" x14ac:dyDescent="0.2">
      <c r="A44" s="8">
        <v>3798</v>
      </c>
      <c r="B44" s="2">
        <v>1</v>
      </c>
      <c r="C44" s="2">
        <v>32.219016699999997</v>
      </c>
      <c r="D44" s="2">
        <v>49.308509100000002</v>
      </c>
      <c r="E44" s="2">
        <v>54.138536100000003</v>
      </c>
      <c r="F44" s="2"/>
    </row>
    <row r="45" spans="1:6" x14ac:dyDescent="0.2">
      <c r="A45" s="8">
        <v>3997</v>
      </c>
      <c r="B45" s="2">
        <v>2</v>
      </c>
      <c r="C45" s="2">
        <v>43.740652900000001</v>
      </c>
      <c r="D45" s="2">
        <v>39.857408100000001</v>
      </c>
      <c r="E45" s="2">
        <v>52.2652261</v>
      </c>
      <c r="F45" s="2"/>
    </row>
    <row r="46" spans="1:6" x14ac:dyDescent="0.2">
      <c r="A46" s="8">
        <v>7306</v>
      </c>
      <c r="B46" s="2">
        <v>2</v>
      </c>
      <c r="C46" s="2">
        <v>63.056314800000003</v>
      </c>
      <c r="D46" s="2">
        <v>33.850755499999998</v>
      </c>
      <c r="E46" s="2">
        <v>46.3165902</v>
      </c>
      <c r="F46" s="2"/>
    </row>
    <row r="47" spans="1:6" x14ac:dyDescent="0.2">
      <c r="A47" s="8">
        <v>2285</v>
      </c>
      <c r="B47" s="2">
        <v>1</v>
      </c>
      <c r="C47" s="2">
        <v>29.3043452</v>
      </c>
      <c r="D47" s="2">
        <v>60.095767799999997</v>
      </c>
      <c r="E47" s="2">
        <v>55.634535900000003</v>
      </c>
      <c r="F47" s="2"/>
    </row>
    <row r="48" spans="1:6" x14ac:dyDescent="0.2">
      <c r="A48" s="8">
        <v>2637</v>
      </c>
      <c r="B48" s="2">
        <v>2</v>
      </c>
      <c r="C48" s="2">
        <v>90.529111400000005</v>
      </c>
      <c r="D48" s="2">
        <v>50.265587099999998</v>
      </c>
      <c r="E48" s="2">
        <v>24.974214799999999</v>
      </c>
      <c r="F48" s="2"/>
    </row>
    <row r="49" spans="1:6" x14ac:dyDescent="0.2">
      <c r="A49" s="8">
        <v>3267</v>
      </c>
      <c r="B49" s="2">
        <v>1</v>
      </c>
      <c r="C49" s="2">
        <v>31.859144000000001</v>
      </c>
      <c r="D49" s="2">
        <v>68.524521899999996</v>
      </c>
      <c r="E49" s="2">
        <v>65.916188300000002</v>
      </c>
      <c r="F49" s="2"/>
    </row>
    <row r="50" spans="1:6" x14ac:dyDescent="0.2">
      <c r="A50" s="8">
        <v>766</v>
      </c>
      <c r="B50" s="2">
        <v>1</v>
      </c>
      <c r="C50" s="2">
        <v>59.028619399999997</v>
      </c>
      <c r="D50" s="2">
        <v>54.255616699999997</v>
      </c>
      <c r="E50" s="2">
        <v>63.764333000000001</v>
      </c>
      <c r="F50" s="2">
        <v>46.574065400000002</v>
      </c>
    </row>
    <row r="51" spans="1:6" x14ac:dyDescent="0.2">
      <c r="A51" s="8">
        <v>6269</v>
      </c>
      <c r="B51" s="2">
        <v>1</v>
      </c>
      <c r="C51" s="2">
        <v>58.804884899999998</v>
      </c>
      <c r="D51" s="2">
        <v>60.072713700000001</v>
      </c>
      <c r="E51" s="2">
        <v>46.163885499999999</v>
      </c>
      <c r="F51" s="2">
        <v>61.0049408</v>
      </c>
    </row>
    <row r="52" spans="1:6" x14ac:dyDescent="0.2">
      <c r="A52" s="8">
        <v>6810</v>
      </c>
      <c r="B52" s="2">
        <v>1</v>
      </c>
      <c r="C52" s="2">
        <v>46.201174600000002</v>
      </c>
      <c r="D52" s="2">
        <v>66.374568800000006</v>
      </c>
      <c r="E52" s="2">
        <v>59.8116901</v>
      </c>
      <c r="F52" s="2">
        <v>62.757527699999997</v>
      </c>
    </row>
    <row r="53" spans="1:6" x14ac:dyDescent="0.2">
      <c r="A53" s="8">
        <v>4483</v>
      </c>
      <c r="B53" s="2">
        <v>1</v>
      </c>
      <c r="C53" s="2">
        <v>80.950539800000001</v>
      </c>
      <c r="D53" s="2">
        <v>42.875412699999998</v>
      </c>
      <c r="E53" s="2">
        <v>52.934003500000003</v>
      </c>
      <c r="F53" s="2"/>
    </row>
    <row r="54" spans="1:6" x14ac:dyDescent="0.2">
      <c r="A54" s="8">
        <v>616</v>
      </c>
      <c r="B54" s="2">
        <v>1</v>
      </c>
      <c r="C54" s="2">
        <v>94.030871700000006</v>
      </c>
      <c r="D54" s="2">
        <v>43.690331</v>
      </c>
      <c r="E54" s="2">
        <v>39.577075200000003</v>
      </c>
      <c r="F54" s="2"/>
    </row>
    <row r="55" spans="1:6" x14ac:dyDescent="0.2">
      <c r="A55" s="8">
        <v>4777</v>
      </c>
      <c r="B55" s="2">
        <v>1</v>
      </c>
      <c r="C55" s="2">
        <v>41.290188299999997</v>
      </c>
      <c r="D55" s="2">
        <v>71.061475799999997</v>
      </c>
      <c r="E55" s="2">
        <v>69.324569499999996</v>
      </c>
      <c r="F55" s="2"/>
    </row>
    <row r="56" spans="1:6" x14ac:dyDescent="0.2">
      <c r="A56" s="8">
        <v>8768</v>
      </c>
      <c r="B56" s="2">
        <v>1</v>
      </c>
      <c r="C56" s="2">
        <v>89.884900200000004</v>
      </c>
      <c r="D56" s="2">
        <v>40.389019400000002</v>
      </c>
      <c r="E56" s="2">
        <v>51.476667800000001</v>
      </c>
      <c r="F56" s="2"/>
    </row>
    <row r="57" spans="1:6" x14ac:dyDescent="0.2">
      <c r="A57" s="8">
        <v>7124</v>
      </c>
      <c r="B57" s="2">
        <v>1</v>
      </c>
      <c r="C57" s="2">
        <v>76.474437100000003</v>
      </c>
      <c r="D57" s="2">
        <v>49.995538799999999</v>
      </c>
      <c r="E57" s="2">
        <v>57.160277200000003</v>
      </c>
      <c r="F57" s="2"/>
    </row>
    <row r="58" spans="1:6" x14ac:dyDescent="0.2">
      <c r="A58" s="8">
        <v>2782</v>
      </c>
      <c r="B58" s="2">
        <v>1</v>
      </c>
      <c r="C58" s="2">
        <v>36.916192799999997</v>
      </c>
      <c r="D58" s="2">
        <v>60.259159099999998</v>
      </c>
      <c r="E58" s="2">
        <v>68.910226499999993</v>
      </c>
      <c r="F58" s="2">
        <v>79.873217100000005</v>
      </c>
    </row>
    <row r="59" spans="1:6" x14ac:dyDescent="0.2">
      <c r="A59" s="8">
        <v>6410</v>
      </c>
      <c r="B59" s="2">
        <v>1</v>
      </c>
      <c r="C59" s="2">
        <v>80.980281399999996</v>
      </c>
      <c r="D59" s="2">
        <v>63.2662166</v>
      </c>
      <c r="E59" s="2">
        <v>50.655801099999998</v>
      </c>
      <c r="F59" s="2"/>
    </row>
    <row r="60" spans="1:6" x14ac:dyDescent="0.2">
      <c r="A60" s="8">
        <v>6639</v>
      </c>
      <c r="B60" s="2">
        <v>1</v>
      </c>
      <c r="C60" s="2">
        <v>56.343805400000001</v>
      </c>
      <c r="D60" s="2">
        <v>68.947515600000003</v>
      </c>
      <c r="E60" s="2">
        <v>72.825580299999999</v>
      </c>
      <c r="F60" s="2">
        <v>64.621981899999994</v>
      </c>
    </row>
    <row r="61" spans="1:6" x14ac:dyDescent="0.2">
      <c r="A61" s="8">
        <v>4278</v>
      </c>
      <c r="B61" s="2">
        <v>1</v>
      </c>
      <c r="C61" s="2">
        <v>39.153537800000002</v>
      </c>
      <c r="D61" s="2">
        <v>79.686771699999994</v>
      </c>
      <c r="E61" s="2">
        <v>66.822037899999998</v>
      </c>
      <c r="F61" s="2">
        <v>77.561293899999995</v>
      </c>
    </row>
    <row r="62" spans="1:6" x14ac:dyDescent="0.2">
      <c r="A62" s="8">
        <v>5565</v>
      </c>
      <c r="B62" s="2">
        <v>1</v>
      </c>
      <c r="C62" s="2">
        <v>59.177775699999998</v>
      </c>
      <c r="D62" s="2">
        <v>76.629066800000004</v>
      </c>
      <c r="E62" s="2">
        <v>68.500046600000005</v>
      </c>
      <c r="F62" s="2">
        <v>60.743917199999999</v>
      </c>
    </row>
    <row r="63" spans="1:6" x14ac:dyDescent="0.2">
      <c r="A63" s="8">
        <v>1637</v>
      </c>
      <c r="B63" s="2">
        <v>1</v>
      </c>
      <c r="C63" s="2">
        <v>35.398387999999997</v>
      </c>
      <c r="D63" s="2">
        <v>70.648068300000006</v>
      </c>
      <c r="E63" s="2">
        <v>100.41043329999999</v>
      </c>
      <c r="F63" s="2"/>
    </row>
    <row r="64" spans="1:6" x14ac:dyDescent="0.2">
      <c r="A64" s="8">
        <v>7828</v>
      </c>
      <c r="B64" s="2">
        <v>1</v>
      </c>
      <c r="C64" s="2">
        <v>101.5008856</v>
      </c>
      <c r="D64" s="2">
        <v>46.275752799999999</v>
      </c>
      <c r="E64" s="2">
        <v>104.5958796</v>
      </c>
      <c r="F64" s="2">
        <v>37.811130800000001</v>
      </c>
    </row>
    <row r="65" spans="1:6" x14ac:dyDescent="0.2">
      <c r="A65" s="8">
        <v>3128</v>
      </c>
      <c r="B65" s="2">
        <v>1</v>
      </c>
      <c r="C65" s="2">
        <v>90.239582400000003</v>
      </c>
      <c r="D65" s="2">
        <v>89.456511599999999</v>
      </c>
      <c r="E65" s="2">
        <v>69.767875500000002</v>
      </c>
      <c r="F65" s="2">
        <v>46.723221799999997</v>
      </c>
    </row>
    <row r="66" spans="1:6" x14ac:dyDescent="0.2">
      <c r="A66" s="8">
        <v>5025</v>
      </c>
      <c r="B66" s="2">
        <v>1</v>
      </c>
      <c r="C66" s="2">
        <v>97.995711799999995</v>
      </c>
      <c r="D66" s="2">
        <v>84.720798000000002</v>
      </c>
      <c r="E66" s="2">
        <v>66.486436100000006</v>
      </c>
      <c r="F66" s="2">
        <v>61.638855200000002</v>
      </c>
    </row>
    <row r="67" spans="1:6" x14ac:dyDescent="0.2">
      <c r="A67" s="8">
        <v>1673</v>
      </c>
      <c r="B67" s="2">
        <v>1</v>
      </c>
      <c r="C67" s="2">
        <v>73.405109600000003</v>
      </c>
      <c r="D67" s="2">
        <v>101.4335425</v>
      </c>
      <c r="E67" s="2">
        <v>62.329357899999998</v>
      </c>
      <c r="F67" s="2"/>
    </row>
    <row r="68" spans="1:6" x14ac:dyDescent="0.2">
      <c r="A68" s="8">
        <v>9845</v>
      </c>
      <c r="B68" s="2">
        <v>1</v>
      </c>
      <c r="C68" s="2">
        <v>82.371585699999997</v>
      </c>
      <c r="D68" s="2">
        <v>81.663093099999998</v>
      </c>
      <c r="E68" s="2">
        <v>84.832665199999994</v>
      </c>
      <c r="F68" s="2">
        <v>70.513657100000003</v>
      </c>
    </row>
    <row r="69" spans="1:6" x14ac:dyDescent="0.2">
      <c r="A69" s="8">
        <v>7537</v>
      </c>
      <c r="B69" s="2">
        <v>1</v>
      </c>
      <c r="C69" s="2">
        <v>83.469648800000002</v>
      </c>
      <c r="D69" s="2">
        <v>86.512208900000005</v>
      </c>
      <c r="E69" s="2">
        <v>70.680784000000003</v>
      </c>
      <c r="F69" s="2"/>
    </row>
    <row r="70" spans="1:6" x14ac:dyDescent="0.2">
      <c r="A70" s="8">
        <v>2259</v>
      </c>
      <c r="B70" s="2">
        <v>1</v>
      </c>
      <c r="C70" s="2">
        <v>89.813520499999996</v>
      </c>
      <c r="D70" s="2">
        <v>92.406983299999993</v>
      </c>
      <c r="E70" s="2">
        <v>59.932189299999997</v>
      </c>
      <c r="F70" s="2"/>
    </row>
    <row r="71" spans="1:6" x14ac:dyDescent="0.2">
      <c r="A71" s="8">
        <v>1328</v>
      </c>
      <c r="B71" s="2">
        <v>1</v>
      </c>
      <c r="C71" s="2">
        <v>86.146387899999993</v>
      </c>
      <c r="D71" s="2">
        <v>94.146863800000006</v>
      </c>
      <c r="E71" s="2">
        <v>62.823067500000001</v>
      </c>
      <c r="F71" s="2"/>
    </row>
    <row r="72" spans="1:6" x14ac:dyDescent="0.2">
      <c r="A72" s="8">
        <v>8887</v>
      </c>
      <c r="B72" s="2">
        <v>1</v>
      </c>
      <c r="C72" s="2">
        <v>85.685393899999994</v>
      </c>
      <c r="D72" s="2">
        <v>90.369687400000004</v>
      </c>
      <c r="E72" s="2">
        <v>70.936561299999994</v>
      </c>
      <c r="F72" s="2"/>
    </row>
    <row r="73" spans="1:6" x14ac:dyDescent="0.2">
      <c r="A73" s="8">
        <v>4867</v>
      </c>
      <c r="B73" s="2">
        <v>1</v>
      </c>
      <c r="C73" s="2">
        <v>88.594117100000005</v>
      </c>
      <c r="D73" s="2">
        <v>102.92359399999999</v>
      </c>
      <c r="E73" s="2">
        <v>59.854861300000003</v>
      </c>
      <c r="F73" s="2"/>
    </row>
    <row r="74" spans="1:6" x14ac:dyDescent="0.2">
      <c r="A74" s="8">
        <v>6115</v>
      </c>
      <c r="B74" s="2">
        <v>1</v>
      </c>
      <c r="C74" s="2">
        <v>106.8524522</v>
      </c>
      <c r="D74" s="2">
        <v>89.560717400000001</v>
      </c>
      <c r="E74" s="2">
        <v>58.8644678</v>
      </c>
      <c r="F74" s="2"/>
    </row>
    <row r="75" spans="1:6" x14ac:dyDescent="0.2">
      <c r="A75" s="8">
        <v>8796</v>
      </c>
      <c r="B75" s="2">
        <v>1</v>
      </c>
      <c r="C75" s="2">
        <v>140.86190999999999</v>
      </c>
      <c r="D75" s="2">
        <v>49.918210700000003</v>
      </c>
      <c r="E75" s="2">
        <v>66.070844399999999</v>
      </c>
      <c r="F75" s="2"/>
    </row>
    <row r="76" spans="1:6" x14ac:dyDescent="0.2">
      <c r="A76" s="8">
        <v>9303</v>
      </c>
      <c r="B76" s="2">
        <v>1</v>
      </c>
      <c r="C76" s="2">
        <v>75.894476999999995</v>
      </c>
      <c r="D76" s="2">
        <v>116.2240133</v>
      </c>
      <c r="E76" s="2">
        <v>70.627249199999994</v>
      </c>
      <c r="F76" s="2"/>
    </row>
    <row r="77" spans="1:6" x14ac:dyDescent="0.2">
      <c r="A77" s="8">
        <v>8035</v>
      </c>
      <c r="B77" s="2">
        <v>1</v>
      </c>
      <c r="C77" s="2">
        <v>80.554977199999996</v>
      </c>
      <c r="D77" s="2">
        <v>91.910299499999994</v>
      </c>
      <c r="E77" s="2">
        <v>90.435118799999998</v>
      </c>
      <c r="F77" s="2"/>
    </row>
    <row r="78" spans="1:6" x14ac:dyDescent="0.2">
      <c r="A78" s="8">
        <v>4061</v>
      </c>
      <c r="B78" s="2">
        <v>1</v>
      </c>
      <c r="C78" s="2">
        <v>121.97900250000001</v>
      </c>
      <c r="D78" s="2">
        <v>78.386818500000004</v>
      </c>
      <c r="E78" s="2">
        <v>68.842756399999999</v>
      </c>
      <c r="F78" s="2"/>
    </row>
    <row r="79" spans="1:6" x14ac:dyDescent="0.2">
      <c r="A79" s="8">
        <v>4573</v>
      </c>
      <c r="B79" s="2">
        <v>1</v>
      </c>
      <c r="C79" s="2">
        <v>126.2981262</v>
      </c>
      <c r="D79" s="2">
        <v>82.520742100000007</v>
      </c>
      <c r="E79" s="2">
        <v>104.89419220000001</v>
      </c>
      <c r="F79" s="2">
        <v>71.557751499999995</v>
      </c>
    </row>
    <row r="80" spans="1:6" x14ac:dyDescent="0.2">
      <c r="A80" s="8">
        <v>9098</v>
      </c>
      <c r="B80" s="2">
        <v>1</v>
      </c>
      <c r="C80" s="2">
        <v>96.353686499999995</v>
      </c>
      <c r="D80" s="2">
        <v>88.418642000000006</v>
      </c>
      <c r="E80" s="2">
        <v>121.8005532</v>
      </c>
      <c r="F80" s="2"/>
    </row>
    <row r="81" spans="1:6" x14ac:dyDescent="0.2">
      <c r="A81" s="8">
        <v>8814</v>
      </c>
      <c r="B81" s="2">
        <v>2</v>
      </c>
      <c r="C81" s="2">
        <v>105.94218960000001</v>
      </c>
      <c r="D81" s="2">
        <v>127.81831769999999</v>
      </c>
      <c r="E81" s="2">
        <v>72.845650000000006</v>
      </c>
      <c r="F81" s="2"/>
    </row>
    <row r="82" spans="1:6" x14ac:dyDescent="0.2">
      <c r="A82" s="8">
        <v>3749</v>
      </c>
      <c r="B82" s="2">
        <v>1</v>
      </c>
      <c r="C82" s="2">
        <v>104.89419220000001</v>
      </c>
      <c r="D82" s="2">
        <v>110.67400019999999</v>
      </c>
      <c r="E82" s="2">
        <v>105.9382866</v>
      </c>
      <c r="F82" s="2">
        <v>106.6467792</v>
      </c>
    </row>
    <row r="83" spans="1:6" x14ac:dyDescent="0.2">
      <c r="A83" s="8">
        <v>3361</v>
      </c>
      <c r="B83" s="2">
        <v>1</v>
      </c>
      <c r="C83" s="2">
        <v>88.864765199999994</v>
      </c>
      <c r="D83" s="2">
        <v>142.554204</v>
      </c>
      <c r="E83" s="2">
        <v>89.733218300000004</v>
      </c>
      <c r="F83" s="2"/>
    </row>
    <row r="84" spans="1:6" x14ac:dyDescent="0.2">
      <c r="A84" s="8">
        <v>6130</v>
      </c>
      <c r="B84" s="2">
        <v>1</v>
      </c>
      <c r="C84" s="2">
        <v>126.47592419999999</v>
      </c>
      <c r="D84" s="2">
        <v>106.13865509999999</v>
      </c>
      <c r="E84" s="2">
        <v>91.407667399999994</v>
      </c>
      <c r="F84" s="2"/>
    </row>
    <row r="85" spans="1:6" x14ac:dyDescent="0.2">
      <c r="A85" s="8">
        <v>9142</v>
      </c>
      <c r="B85" s="2">
        <v>1</v>
      </c>
      <c r="C85" s="2">
        <v>150.1234274</v>
      </c>
      <c r="D85" s="2">
        <v>89.777830699999996</v>
      </c>
      <c r="E85" s="2">
        <v>84.385688400000006</v>
      </c>
      <c r="F85" s="2"/>
    </row>
    <row r="86" spans="1:6" x14ac:dyDescent="0.2">
      <c r="A86" s="8">
        <v>8242</v>
      </c>
      <c r="B86" s="2">
        <v>1</v>
      </c>
      <c r="C86" s="2">
        <v>123.8765131</v>
      </c>
      <c r="D86" s="2">
        <v>122.00874399999999</v>
      </c>
      <c r="E86" s="2">
        <v>84.602801700000001</v>
      </c>
      <c r="F8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sorted by number</vt:lpstr>
      <vt:lpstr>sorted by mean</vt:lpstr>
      <vt:lpstr>percentage</vt:lpstr>
      <vt:lpstr>separated by significance</vt:lpstr>
      <vt:lpstr>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 Ginsparg</cp:lastModifiedBy>
  <dcterms:modified xsi:type="dcterms:W3CDTF">2025-11-14T21:45:28Z</dcterms:modified>
</cp:coreProperties>
</file>